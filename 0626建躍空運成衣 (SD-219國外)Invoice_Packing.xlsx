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192.168.68.250\資料庫\共用文件\JOHN\出貨\2026\0626AIR\"/>
    </mc:Choice>
  </mc:AlternateContent>
  <xr:revisionPtr revIDLastSave="0" documentId="13_ncr:1_{99CE555F-51D4-4783-8037-E4813183E66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(+DIV CHARGE)." sheetId="20" r:id="rId1"/>
    <sheet name="SHIPMENT" sheetId="21" r:id="rId2"/>
    <sheet name="INVOICE(PAYMENT)" sheetId="2" r:id="rId3"/>
    <sheet name="PACKING" sheetId="6" r:id="rId4"/>
  </sheets>
  <definedNames>
    <definedName name="_xlnm.Print_Titles" localSheetId="3">PACKING!$16:$16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7" i="20" l="1"/>
  <c r="Q114" i="21"/>
  <c r="Q106" i="21"/>
  <c r="Q98" i="21"/>
  <c r="Q90" i="21"/>
  <c r="Q82" i="21"/>
  <c r="Q74" i="21"/>
  <c r="Q66" i="21"/>
  <c r="Q58" i="21"/>
  <c r="Q50" i="21"/>
  <c r="Q42" i="21"/>
  <c r="Q34" i="21"/>
  <c r="Q26" i="21"/>
  <c r="Q18" i="21"/>
  <c r="Q114" i="20"/>
  <c r="Q106" i="20"/>
  <c r="Q98" i="20"/>
  <c r="Q90" i="20"/>
  <c r="Q82" i="20"/>
  <c r="Q74" i="20"/>
  <c r="Q66" i="20"/>
  <c r="Q58" i="20"/>
  <c r="Q50" i="20"/>
  <c r="Q42" i="20"/>
  <c r="Q34" i="20"/>
  <c r="Q26" i="20"/>
  <c r="Q18" i="20"/>
  <c r="Q114" i="2" l="1"/>
  <c r="Q106" i="2"/>
  <c r="Q98" i="2"/>
  <c r="Q90" i="2"/>
  <c r="Q82" i="2"/>
  <c r="Q74" i="2"/>
  <c r="Q66" i="2"/>
  <c r="Q58" i="2"/>
  <c r="Q50" i="2"/>
  <c r="Q42" i="2"/>
  <c r="Q34" i="2"/>
  <c r="Q26" i="2"/>
  <c r="Q18" i="2" l="1"/>
</calcChain>
</file>

<file path=xl/sharedStrings.xml><?xml version="1.0" encoding="utf-8"?>
<sst xmlns="http://schemas.openxmlformats.org/spreadsheetml/2006/main" count="1150" uniqueCount="156">
  <si>
    <t>Amount</t>
  </si>
  <si>
    <t>INPROTEX CO., LTD.</t>
  </si>
  <si>
    <t>TEL: 886-2-2765-7099</t>
  </si>
  <si>
    <t>FAX: 886-2-2765-2388</t>
  </si>
  <si>
    <t>STRAIGHT DOWN CLOTHING CO.</t>
  </si>
  <si>
    <t>625 CLARION COURT SAN LUIS OBISPO, CA 93401 USA</t>
  </si>
  <si>
    <t xml:space="preserve"> FOB TAIWAN</t>
  </si>
  <si>
    <t>CLOTHING</t>
  </si>
  <si>
    <t>-------------------------------</t>
  </si>
  <si>
    <t>PCS</t>
  </si>
  <si>
    <t>Measurement</t>
    <phoneticPr fontId="6" type="noConversion"/>
  </si>
  <si>
    <t>Gross Weight</t>
    <phoneticPr fontId="6" type="noConversion"/>
  </si>
  <si>
    <t>Net Weight</t>
    <phoneticPr fontId="6" type="noConversion"/>
  </si>
  <si>
    <t>Quantity</t>
    <phoneticPr fontId="6" type="noConversion"/>
  </si>
  <si>
    <t>Description</t>
  </si>
  <si>
    <t>Packing No.</t>
  </si>
  <si>
    <t xml:space="preserve">to </t>
    <phoneticPr fontId="7" type="noConversion"/>
  </si>
  <si>
    <t>Per S.S.</t>
    <phoneticPr fontId="6" type="noConversion"/>
  </si>
  <si>
    <t>Shipped by</t>
    <phoneticPr fontId="6" type="noConversion"/>
  </si>
  <si>
    <t>For account and risk of Messrs.</t>
    <phoneticPr fontId="7" type="noConversion"/>
  </si>
  <si>
    <t>MARKS &amp; NOS:</t>
    <phoneticPr fontId="7" type="noConversion"/>
  </si>
  <si>
    <r>
      <t>PACKING LIST</t>
    </r>
    <r>
      <rPr>
        <sz val="11"/>
        <rFont val="Times New Roman"/>
        <family val="1"/>
      </rPr>
      <t xml:space="preserve"> of </t>
    </r>
    <phoneticPr fontId="6" type="noConversion"/>
  </si>
  <si>
    <t>Dated:</t>
  </si>
  <si>
    <t>No.</t>
    <phoneticPr fontId="6" type="noConversion"/>
  </si>
  <si>
    <t>NO. 1, ALY. 10, LN. 136, SEC. 3, ZHONGSHAN RD., ZHONGHE DIST., _x000D_
NEW TAIPEI CITY 23546, TAIWAN (R.O.C.)</t>
    <phoneticPr fontId="3" type="noConversion"/>
  </si>
  <si>
    <t xml:space="preserve">CLOTHING </t>
  </si>
  <si>
    <t>KGS</t>
  </si>
  <si>
    <t>PO#: _x000D_
STYLE#:    _x000D_
COLOR:  _x000D_
SIZE: _x000D_
Q'TY:_x000D_
CARTON#:     _x000D_
GROSS WT:_x000D_
NET WT:_x000D_
MEASUREMENT:_x000D_
MADE IN TAIWAN</t>
    <phoneticPr fontId="3" type="noConversion"/>
  </si>
  <si>
    <t>NO. 1, ALY. 10, LN. 136, SEC. 3, ZHONGSHAN RD., ZHONGHE DIST., NEW TAIPEI CITY 23546, _x000D_
TAIWAN (R.O.C.)</t>
  </si>
  <si>
    <t xml:space="preserve">No. </t>
  </si>
  <si>
    <t xml:space="preserve">Dated: </t>
  </si>
  <si>
    <t xml:space="preserve">For account and risk of Messrs. </t>
  </si>
  <si>
    <t xml:space="preserve">Shipped by </t>
  </si>
  <si>
    <t xml:space="preserve">Per </t>
  </si>
  <si>
    <t xml:space="preserve">sailing on or about </t>
  </si>
  <si>
    <t xml:space="preserve">From </t>
  </si>
  <si>
    <t xml:space="preserve">to </t>
  </si>
  <si>
    <t>Marks &amp; Nos.</t>
  </si>
  <si>
    <t>Description of Goods</t>
  </si>
  <si>
    <t>Quantity</t>
  </si>
  <si>
    <t>Unit Price</t>
  </si>
  <si>
    <t xml:space="preserve">PO#: </t>
  </si>
  <si>
    <t xml:space="preserve">STYLE#:    </t>
  </si>
  <si>
    <t xml:space="preserve">COLOR:  </t>
  </si>
  <si>
    <t xml:space="preserve">SIZE: </t>
  </si>
  <si>
    <t>Q'TY:</t>
  </si>
  <si>
    <t xml:space="preserve">CARTON#:     </t>
  </si>
  <si>
    <t>GROSS WT:</t>
  </si>
  <si>
    <t>NET WT:</t>
  </si>
  <si>
    <t>MEASUREMENT:</t>
  </si>
  <si>
    <t>MADE IN TAIWAN</t>
  </si>
  <si>
    <t>COMMERCIAL INVOICE</t>
    <phoneticPr fontId="3" type="noConversion"/>
  </si>
  <si>
    <t>INPROTEX CO., LTD.</t>
    <phoneticPr fontId="3" type="noConversion"/>
  </si>
  <si>
    <t>PACKING LIST</t>
    <phoneticPr fontId="6" type="noConversion"/>
  </si>
  <si>
    <t xml:space="preserve">sailing on or about </t>
    <phoneticPr fontId="6" type="noConversion"/>
  </si>
  <si>
    <t xml:space="preserve">From </t>
    <phoneticPr fontId="6" type="noConversion"/>
  </si>
  <si>
    <t xml:space="preserve">AIR FREIGHT </t>
    <phoneticPr fontId="3" type="noConversion"/>
  </si>
  <si>
    <t>TAOYUAN INT'L 
AIRPORT,TAIWAN</t>
    <phoneticPr fontId="3" type="noConversion"/>
  </si>
  <si>
    <t xml:space="preserve">TAOYUAN INT'L </t>
    <phoneticPr fontId="3" type="noConversion"/>
  </si>
  <si>
    <t>LOS ANGELES CA.USA</t>
    <phoneticPr fontId="3" type="noConversion"/>
  </si>
  <si>
    <t>92%POLYESTER 8%SPANDEX</t>
  </si>
  <si>
    <t>1.</t>
    <phoneticPr fontId="3" type="noConversion"/>
  </si>
  <si>
    <t>2.</t>
    <phoneticPr fontId="3" type="noConversion"/>
  </si>
  <si>
    <t>3.</t>
    <phoneticPr fontId="3" type="noConversion"/>
  </si>
  <si>
    <t>4.</t>
    <phoneticPr fontId="3" type="noConversion"/>
  </si>
  <si>
    <t>5.</t>
    <phoneticPr fontId="3" type="noConversion"/>
  </si>
  <si>
    <t>COLOR:TID</t>
    <phoneticPr fontId="3" type="noConversion"/>
  </si>
  <si>
    <t>COLOR:NIN</t>
    <phoneticPr fontId="3" type="noConversion"/>
  </si>
  <si>
    <t>(H.S.CODE: 6109.90.90.00-0)</t>
  </si>
  <si>
    <t>vvvvvv</t>
  </si>
  <si>
    <t>vvv</t>
  </si>
  <si>
    <t>vvvvvvvvvv</t>
  </si>
  <si>
    <t>STYLE#W60118</t>
    <phoneticPr fontId="3" type="noConversion"/>
  </si>
  <si>
    <t>(H.S.CODE:6104.33.00.00-4)</t>
  </si>
  <si>
    <t>70% POLYESTER 30% COTTON KNIT</t>
  </si>
  <si>
    <t>WOMAN'S:SWING JACKET</t>
  </si>
  <si>
    <t>vvvvvvvvvvvvvvv</t>
    <phoneticPr fontId="3" type="noConversion"/>
  </si>
  <si>
    <r>
      <t>INVOICE</t>
    </r>
    <r>
      <rPr>
        <sz val="11"/>
        <rFont val="Times New Roman"/>
        <family val="1"/>
      </rPr>
      <t xml:space="preserve"> of </t>
    </r>
  </si>
  <si>
    <t>PO#1640</t>
    <phoneticPr fontId="3" type="noConversion"/>
  </si>
  <si>
    <t>PO#1662</t>
    <phoneticPr fontId="3" type="noConversion"/>
  </si>
  <si>
    <t>STYLE#M120246</t>
    <phoneticPr fontId="3" type="noConversion"/>
  </si>
  <si>
    <t>PO#1667</t>
    <phoneticPr fontId="3" type="noConversion"/>
  </si>
  <si>
    <t>MEN'S WATERMAN POLO</t>
  </si>
  <si>
    <t>Jun. 26, 2026</t>
    <phoneticPr fontId="3" type="noConversion"/>
  </si>
  <si>
    <t>SD-219</t>
    <phoneticPr fontId="3" type="noConversion"/>
  </si>
  <si>
    <t>COLOR:BLK</t>
    <phoneticPr fontId="3" type="noConversion"/>
  </si>
  <si>
    <t xml:space="preserve">      IND</t>
    <phoneticPr fontId="3" type="noConversion"/>
  </si>
  <si>
    <t>PO#1645</t>
    <phoneticPr fontId="3" type="noConversion"/>
  </si>
  <si>
    <t>STYLE#14728</t>
    <phoneticPr fontId="3" type="noConversion"/>
  </si>
  <si>
    <t>COLOR:CBR</t>
    <phoneticPr fontId="3" type="noConversion"/>
  </si>
  <si>
    <t>STYLE#W120007</t>
    <phoneticPr fontId="3" type="noConversion"/>
  </si>
  <si>
    <t>PO#1650</t>
    <phoneticPr fontId="3" type="noConversion"/>
  </si>
  <si>
    <t>STYLE#W340035</t>
    <phoneticPr fontId="3" type="noConversion"/>
  </si>
  <si>
    <t>COLOR:PDN</t>
    <phoneticPr fontId="3" type="noConversion"/>
  </si>
  <si>
    <t>STYLE#W340039</t>
    <phoneticPr fontId="3" type="noConversion"/>
  </si>
  <si>
    <t>6.</t>
    <phoneticPr fontId="3" type="noConversion"/>
  </si>
  <si>
    <t>7.</t>
    <phoneticPr fontId="3" type="noConversion"/>
  </si>
  <si>
    <t>8.</t>
    <phoneticPr fontId="3" type="noConversion"/>
  </si>
  <si>
    <t>9.</t>
    <phoneticPr fontId="3" type="noConversion"/>
  </si>
  <si>
    <t>10.</t>
    <phoneticPr fontId="3" type="noConversion"/>
  </si>
  <si>
    <t>11.</t>
    <phoneticPr fontId="3" type="noConversion"/>
  </si>
  <si>
    <t>12.</t>
    <phoneticPr fontId="3" type="noConversion"/>
  </si>
  <si>
    <t>13.</t>
    <phoneticPr fontId="3" type="noConversion"/>
  </si>
  <si>
    <t>PO#1704</t>
    <phoneticPr fontId="3" type="noConversion"/>
  </si>
  <si>
    <t>STYLE#M120278</t>
    <phoneticPr fontId="3" type="noConversion"/>
  </si>
  <si>
    <t>STYLE#M120180</t>
    <phoneticPr fontId="3" type="noConversion"/>
  </si>
  <si>
    <t>COLOR:PNC</t>
    <phoneticPr fontId="3" type="noConversion"/>
  </si>
  <si>
    <t>STYLE#M120233</t>
    <phoneticPr fontId="3" type="noConversion"/>
  </si>
  <si>
    <t>STYLE#M120247</t>
    <phoneticPr fontId="3" type="noConversion"/>
  </si>
  <si>
    <t>STYLE#W160036</t>
    <phoneticPr fontId="3" type="noConversion"/>
  </si>
  <si>
    <t>(H.S.CODE:6109.90.90.00-0)</t>
  </si>
  <si>
    <t>MEN'S OLYMPIC 4 BUTTON POLO</t>
  </si>
  <si>
    <t>92%SPANDEX 8%POLYESTER</t>
  </si>
  <si>
    <t>(H.S.CODE:6106.90.90.00-3)</t>
  </si>
  <si>
    <t>WOMEN'S ABBOTT 2.0 POLO</t>
  </si>
  <si>
    <t>MEN'S WILSHIRE POLO</t>
  </si>
  <si>
    <t>92% POLYESTER 8%SPANDEX</t>
  </si>
  <si>
    <t>MEN'S IRONWOOD POLO</t>
  </si>
  <si>
    <t>MEN'S "TROPICS LOUNGE" POLO</t>
  </si>
  <si>
    <t>MEN'S BANKSVILLE POLO</t>
  </si>
  <si>
    <t>(H.S.CODE: 6106.90.90.00-3)</t>
  </si>
  <si>
    <t>92%POLYESTER 8%SPANDEX KNIT</t>
  </si>
  <si>
    <t>WOMEN'S PARADISE LOST SLEEVELESS POLO</t>
  </si>
  <si>
    <t>WOMEN'S EMPRESS QZ</t>
  </si>
  <si>
    <t>WOMEN'S ERIKA QZ</t>
  </si>
  <si>
    <t>+) DIV. CHARGE</t>
  </si>
  <si>
    <t>USD</t>
  </si>
  <si>
    <t>SAY TOTAL U.S. DOLLARS EIGHTY SEVEN THOUSAND EIGHT HUNDRED THREE AND CENTS SIXTY TWO ONLY.</t>
  </si>
  <si>
    <t>SAY TOTAL U.S. DOLLARS FIFTY TWO THOUSAND SIX HUNDRED SEVENTY THREE AND CENTS SIXTY SIX ONLY.</t>
  </si>
  <si>
    <t>C/NO.</t>
  </si>
  <si>
    <t>COLOR</t>
  </si>
  <si>
    <t>XS</t>
  </si>
  <si>
    <t>S</t>
  </si>
  <si>
    <t>M</t>
  </si>
  <si>
    <t>L</t>
  </si>
  <si>
    <t>XL</t>
  </si>
  <si>
    <t>2XL</t>
  </si>
  <si>
    <t>TOTAL</t>
  </si>
  <si>
    <t>N.W</t>
  </si>
  <si>
    <t>G.W</t>
  </si>
  <si>
    <t>Q'TY</t>
  </si>
  <si>
    <t>BLK</t>
  </si>
  <si>
    <t>IND</t>
  </si>
  <si>
    <t>PCS</t>
    <phoneticPr fontId="3" type="noConversion"/>
  </si>
  <si>
    <t>KGS</t>
    <phoneticPr fontId="3" type="noConversion"/>
  </si>
  <si>
    <t>XXL</t>
  </si>
  <si>
    <t>XXXL</t>
  </si>
  <si>
    <t>CBR</t>
  </si>
  <si>
    <t xml:space="preserve">TOTAL </t>
  </si>
  <si>
    <t>PDN</t>
  </si>
  <si>
    <t>NIN</t>
  </si>
  <si>
    <t xml:space="preserve">TOTAL </t>
    <phoneticPr fontId="3" type="noConversion"/>
  </si>
  <si>
    <t>PNC</t>
    <phoneticPr fontId="3" type="noConversion"/>
  </si>
  <si>
    <t>TID</t>
  </si>
  <si>
    <t>TOTAL: 205 CTNS</t>
    <phoneticPr fontId="3" type="noConversion"/>
  </si>
  <si>
    <t>SAY TOTAL TWO HUNDRED FIVE (205) CTNS ONLY.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</si>
</sst>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#,##0_);[Red]\(#,##0\)"/>
    <numFmt numFmtId="177" formatCode="#,##0.00_);[Red]\(#,##0.00\)"/>
    <numFmt numFmtId="178" formatCode="&quot;$&quot;#,##0.00_);[Red]\(&quot;$&quot;#,##0.00\)"/>
    <numFmt numFmtId="179" formatCode="0_);[Red]\(0\)"/>
    <numFmt numFmtId="180" formatCode="&quot;$&quot;#,##0.00;[Red]\-&quot;$&quot;#,##0.00"/>
    <numFmt numFmtId="183" formatCode="_-&quot;$&quot;* #,##0.00_-;\-&quot;$&quot;* #,##0.00_-;_-&quot;$&quot;* &quot;-&quot;??_-;_-@_-"/>
    <numFmt numFmtId="184" formatCode="_-* #,##0.00_-;\-* #,##0.00_-;_-* &quot;-&quot;??_-;_-@_-"/>
    <numFmt numFmtId="185" formatCode="m&quot;月&quot;d&quot;日&quot;"/>
  </numFmts>
  <fonts count="30" x14ac:knownFonts="1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name val="細明體"/>
      <family val="3"/>
      <charset val="136"/>
    </font>
    <font>
      <sz val="9"/>
      <name val="新細明體"/>
      <family val="2"/>
      <charset val="136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1"/>
      <name val="Times New Roman"/>
      <family val="1"/>
    </font>
    <font>
      <b/>
      <u val="double"/>
      <sz val="10"/>
      <name val="細明體"/>
      <family val="3"/>
      <charset val="136"/>
    </font>
    <font>
      <sz val="14"/>
      <name val="細明體"/>
      <family val="3"/>
      <charset val="136"/>
    </font>
    <font>
      <b/>
      <u/>
      <sz val="14"/>
      <name val="Times New Roman"/>
      <family val="1"/>
    </font>
    <font>
      <b/>
      <sz val="14"/>
      <name val="Times New Roman"/>
      <family val="1"/>
    </font>
    <font>
      <sz val="11"/>
      <name val="細明體"/>
      <family val="3"/>
      <charset val="136"/>
    </font>
    <font>
      <b/>
      <sz val="12"/>
      <name val="新細明體"/>
      <family val="1"/>
      <charset val="136"/>
    </font>
    <font>
      <u/>
      <sz val="11"/>
      <name val="Times New Roman"/>
      <family val="1"/>
    </font>
    <font>
      <sz val="14"/>
      <name val="Times New Roman"/>
      <family val="1"/>
    </font>
    <font>
      <b/>
      <sz val="1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0"/>
      <name val="新細明體"/>
      <family val="1"/>
      <charset val="136"/>
      <scheme val="major"/>
    </font>
    <font>
      <b/>
      <u/>
      <sz val="11"/>
      <name val="Times New Roman"/>
      <family val="1"/>
    </font>
    <font>
      <b/>
      <u val="double"/>
      <sz val="11"/>
      <name val="細明體"/>
      <family val="3"/>
      <charset val="136"/>
    </font>
    <font>
      <sz val="11"/>
      <name val="新細明體"/>
      <family val="1"/>
      <charset val="136"/>
    </font>
    <font>
      <b/>
      <sz val="11"/>
      <name val="Times New Roman"/>
      <family val="1"/>
    </font>
    <font>
      <u/>
      <sz val="1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b/>
      <sz val="10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color theme="1"/>
      <name val="新細明體"/>
      <family val="1"/>
      <charset val="136"/>
    </font>
    <font>
      <sz val="11"/>
      <name val="新細明體"/>
      <family val="1"/>
      <charset val="136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032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4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</cellStyleXfs>
  <cellXfs count="372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top"/>
    </xf>
    <xf numFmtId="49" fontId="10" fillId="0" borderId="0" xfId="1" applyNumberFormat="1" applyFont="1" applyAlignment="1">
      <alignment horizontal="left" vertical="top"/>
    </xf>
    <xf numFmtId="49" fontId="8" fillId="0" borderId="0" xfId="1" applyNumberFormat="1" applyFont="1" applyAlignment="1">
      <alignment horizontal="left" vertical="top"/>
    </xf>
    <xf numFmtId="49" fontId="13" fillId="0" borderId="0" xfId="1" applyNumberFormat="1" applyFont="1" applyAlignment="1">
      <alignment horizontal="left" vertical="top"/>
    </xf>
    <xf numFmtId="49" fontId="2" fillId="0" borderId="5" xfId="1" applyNumberFormat="1" applyFont="1" applyBorder="1" applyAlignment="1">
      <alignment horizontal="left" vertical="top"/>
    </xf>
    <xf numFmtId="49" fontId="8" fillId="0" borderId="0" xfId="1" applyNumberFormat="1" applyFont="1" applyAlignment="1">
      <alignment horizontal="right" vertical="top"/>
    </xf>
    <xf numFmtId="49" fontId="9" fillId="0" borderId="0" xfId="1" applyNumberFormat="1" applyFont="1" applyAlignment="1">
      <alignment horizontal="left" vertical="top"/>
    </xf>
    <xf numFmtId="0" fontId="8" fillId="0" borderId="0" xfId="1" applyFont="1" applyAlignment="1">
      <alignment horizontal="right" vertical="top"/>
    </xf>
    <xf numFmtId="0" fontId="25" fillId="0" borderId="0" xfId="0" applyFont="1">
      <alignment vertical="center"/>
    </xf>
    <xf numFmtId="176" fontId="13" fillId="0" borderId="0" xfId="1" applyNumberFormat="1" applyFont="1" applyAlignment="1">
      <alignment horizontal="left" vertical="top"/>
    </xf>
    <xf numFmtId="49" fontId="24" fillId="0" borderId="0" xfId="1" applyNumberFormat="1" applyFont="1" applyAlignment="1">
      <alignment horizontal="left" vertical="top"/>
    </xf>
    <xf numFmtId="0" fontId="13" fillId="0" borderId="0" xfId="1" applyFont="1" applyAlignment="1">
      <alignment horizontal="left" vertical="top"/>
    </xf>
    <xf numFmtId="177" fontId="13" fillId="0" borderId="0" xfId="1" applyNumberFormat="1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49" fontId="21" fillId="0" borderId="0" xfId="1" applyNumberFormat="1" applyFont="1" applyAlignment="1">
      <alignment horizontal="left" vertical="top"/>
    </xf>
    <xf numFmtId="49" fontId="23" fillId="0" borderId="2" xfId="1" applyNumberFormat="1" applyFont="1" applyBorder="1" applyAlignment="1">
      <alignment horizontal="center" vertical="top"/>
    </xf>
    <xf numFmtId="0" fontId="25" fillId="0" borderId="9" xfId="0" applyFont="1" applyBorder="1">
      <alignment vertical="center"/>
    </xf>
    <xf numFmtId="179" fontId="13" fillId="0" borderId="0" xfId="1" applyNumberFormat="1" applyFont="1" applyAlignment="1">
      <alignment horizontal="center" vertical="top"/>
    </xf>
    <xf numFmtId="0" fontId="22" fillId="0" borderId="0" xfId="1" applyFont="1" applyAlignment="1">
      <alignment vertical="top" wrapText="1"/>
    </xf>
    <xf numFmtId="49" fontId="13" fillId="0" borderId="9" xfId="1" applyNumberFormat="1" applyFont="1" applyBorder="1" applyAlignment="1">
      <alignment horizontal="left" vertical="top"/>
    </xf>
    <xf numFmtId="49" fontId="13" fillId="0" borderId="0" xfId="1" applyNumberFormat="1" applyFont="1" applyAlignment="1">
      <alignment horizontal="center" vertical="top"/>
    </xf>
    <xf numFmtId="49" fontId="13" fillId="0" borderId="1" xfId="1" applyNumberFormat="1" applyFont="1" applyBorder="1" applyAlignment="1">
      <alignment horizontal="left" vertical="top"/>
    </xf>
    <xf numFmtId="178" fontId="13" fillId="0" borderId="0" xfId="1" applyNumberFormat="1" applyFont="1" applyAlignment="1">
      <alignment horizontal="center" vertical="top"/>
    </xf>
    <xf numFmtId="49" fontId="13" fillId="0" borderId="0" xfId="1" applyNumberFormat="1" applyFont="1" applyAlignment="1">
      <alignment horizontal="right" vertical="top"/>
    </xf>
    <xf numFmtId="8" fontId="13" fillId="0" borderId="0" xfId="1" applyNumberFormat="1" applyFont="1" applyAlignment="1">
      <alignment horizontal="left" vertical="top"/>
    </xf>
    <xf numFmtId="49" fontId="8" fillId="0" borderId="0" xfId="1" applyNumberFormat="1" applyFont="1" applyAlignment="1">
      <alignment vertical="top" wrapText="1"/>
    </xf>
    <xf numFmtId="0" fontId="8" fillId="0" borderId="8" xfId="1" applyFont="1" applyBorder="1" applyAlignment="1">
      <alignment horizontal="right" vertical="top"/>
    </xf>
    <xf numFmtId="49" fontId="2" fillId="0" borderId="9" xfId="1" applyNumberFormat="1" applyFont="1" applyBorder="1" applyAlignment="1">
      <alignment horizontal="left" vertical="top"/>
    </xf>
    <xf numFmtId="49" fontId="2" fillId="2" borderId="0" xfId="1" applyNumberFormat="1" applyFont="1" applyFill="1" applyAlignment="1">
      <alignment horizontal="left" vertical="top"/>
    </xf>
    <xf numFmtId="0" fontId="0" fillId="0" borderId="9" xfId="0" applyBorder="1">
      <alignment vertical="center"/>
    </xf>
    <xf numFmtId="49" fontId="19" fillId="0" borderId="0" xfId="18" applyNumberFormat="1" applyFont="1" applyAlignment="1">
      <alignment horizontal="left" vertical="top"/>
    </xf>
    <xf numFmtId="49" fontId="19" fillId="0" borderId="0" xfId="2" applyNumberFormat="1" applyFont="1" applyAlignment="1">
      <alignment horizontal="left" vertical="top"/>
    </xf>
    <xf numFmtId="49" fontId="12" fillId="0" borderId="0" xfId="1" applyNumberFormat="1" applyFont="1" applyAlignment="1">
      <alignment horizontal="center" vertical="top" shrinkToFit="1"/>
    </xf>
    <xf numFmtId="0" fontId="16" fillId="0" borderId="0" xfId="1" applyFont="1" applyAlignment="1">
      <alignment horizontal="center" vertical="top" shrinkToFit="1"/>
    </xf>
    <xf numFmtId="49" fontId="8" fillId="0" borderId="1" xfId="1" applyNumberFormat="1" applyFont="1" applyBorder="1" applyAlignment="1">
      <alignment horizontal="center" vertical="top" wrapText="1"/>
    </xf>
    <xf numFmtId="0" fontId="8" fillId="0" borderId="0" xfId="1" applyFont="1" applyAlignment="1">
      <alignment horizontal="right" vertical="top" shrinkToFit="1"/>
    </xf>
    <xf numFmtId="0" fontId="8" fillId="0" borderId="0" xfId="1" applyFont="1" applyAlignment="1">
      <alignment horizontal="left" vertical="top" shrinkToFit="1"/>
    </xf>
    <xf numFmtId="49" fontId="11" fillId="0" borderId="0" xfId="1" applyNumberFormat="1" applyFont="1" applyAlignment="1">
      <alignment horizontal="center" vertical="top" wrapText="1"/>
    </xf>
    <xf numFmtId="49" fontId="4" fillId="0" borderId="3" xfId="1" applyNumberFormat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5" fillId="0" borderId="4" xfId="1" applyFont="1" applyBorder="1" applyAlignment="1">
      <alignment horizontal="center" vertical="top"/>
    </xf>
    <xf numFmtId="49" fontId="4" fillId="0" borderId="2" xfId="1" applyNumberFormat="1" applyFont="1" applyBorder="1" applyAlignment="1">
      <alignment horizontal="center" vertical="top"/>
    </xf>
    <xf numFmtId="49" fontId="4" fillId="0" borderId="4" xfId="1" applyNumberFormat="1" applyFont="1" applyBorder="1" applyAlignment="1">
      <alignment horizontal="center" vertical="top"/>
    </xf>
    <xf numFmtId="0" fontId="14" fillId="0" borderId="2" xfId="1" applyFont="1" applyBorder="1" applyAlignment="1">
      <alignment horizontal="center" vertical="top"/>
    </xf>
    <xf numFmtId="0" fontId="14" fillId="0" borderId="4" xfId="1" applyFont="1" applyBorder="1" applyAlignment="1">
      <alignment horizontal="center" vertical="top"/>
    </xf>
    <xf numFmtId="0" fontId="4" fillId="0" borderId="3" xfId="1" applyFont="1" applyBorder="1" applyAlignment="1">
      <alignment horizontal="center" vertical="top"/>
    </xf>
    <xf numFmtId="49" fontId="8" fillId="0" borderId="0" xfId="1" applyNumberFormat="1" applyFont="1" applyAlignment="1">
      <alignment horizontal="left" vertical="top"/>
    </xf>
    <xf numFmtId="0" fontId="8" fillId="0" borderId="0" xfId="1" applyFont="1" applyAlignment="1">
      <alignment horizontal="left" vertical="top"/>
    </xf>
    <xf numFmtId="49" fontId="2" fillId="0" borderId="6" xfId="1" applyNumberFormat="1" applyFont="1" applyBorder="1" applyAlignment="1">
      <alignment horizontal="left" vertical="top" shrinkToFit="1"/>
    </xf>
    <xf numFmtId="0" fontId="2" fillId="0" borderId="6" xfId="1" applyFont="1" applyBorder="1" applyAlignment="1">
      <alignment horizontal="left" vertical="top" shrinkToFit="1"/>
    </xf>
    <xf numFmtId="0" fontId="7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49" fontId="2" fillId="0" borderId="0" xfId="1" applyNumberFormat="1" applyFont="1" applyAlignment="1">
      <alignment horizontal="left" vertical="top" wrapText="1" shrinkToFit="1"/>
    </xf>
    <xf numFmtId="0" fontId="2" fillId="0" borderId="0" xfId="1" applyFont="1" applyAlignment="1">
      <alignment horizontal="left" vertical="top" wrapText="1" shrinkToFit="1"/>
    </xf>
    <xf numFmtId="0" fontId="8" fillId="0" borderId="8" xfId="1" applyFont="1" applyBorder="1" applyAlignment="1">
      <alignment horizontal="left" vertical="top"/>
    </xf>
    <xf numFmtId="0" fontId="2" fillId="0" borderId="7" xfId="1" applyFont="1" applyBorder="1" applyAlignment="1">
      <alignment horizontal="left" vertical="top" shrinkToFit="1"/>
    </xf>
    <xf numFmtId="0" fontId="1" fillId="0" borderId="0" xfId="1" applyAlignment="1">
      <alignment horizontal="left" vertical="top"/>
    </xf>
    <xf numFmtId="49" fontId="5" fillId="0" borderId="2" xfId="1" applyNumberFormat="1" applyFont="1" applyBorder="1" applyAlignment="1">
      <alignment horizontal="center" vertical="top"/>
    </xf>
    <xf numFmtId="0" fontId="1" fillId="0" borderId="6" xfId="1" applyBorder="1" applyAlignment="1">
      <alignment horizontal="left" vertical="top" shrinkToFit="1"/>
    </xf>
    <xf numFmtId="49" fontId="2" fillId="0" borderId="0" xfId="1" applyNumberFormat="1" applyFont="1" applyAlignment="1">
      <alignment horizontal="left" vertical="top"/>
    </xf>
    <xf numFmtId="49" fontId="12" fillId="0" borderId="0" xfId="1" applyNumberFormat="1" applyFont="1" applyAlignment="1">
      <alignment horizontal="left" vertical="top"/>
    </xf>
    <xf numFmtId="49" fontId="15" fillId="0" borderId="0" xfId="1" applyNumberFormat="1" applyFont="1" applyAlignment="1">
      <alignment horizontal="left" vertical="top"/>
    </xf>
    <xf numFmtId="0" fontId="13" fillId="0" borderId="7" xfId="1" applyFont="1" applyBorder="1" applyAlignment="1">
      <alignment horizontal="left" vertical="top" shrinkToFit="1"/>
    </xf>
    <xf numFmtId="0" fontId="13" fillId="0" borderId="6" xfId="1" applyFont="1" applyBorder="1" applyAlignment="1">
      <alignment horizontal="left" vertical="top" wrapText="1" shrinkToFit="1"/>
    </xf>
    <xf numFmtId="0" fontId="13" fillId="0" borderId="6" xfId="1" applyFont="1" applyBorder="1" applyAlignment="1">
      <alignment horizontal="left" vertical="top" shrinkToFit="1"/>
    </xf>
    <xf numFmtId="49" fontId="23" fillId="0" borderId="2" xfId="1" applyNumberFormat="1" applyFont="1" applyBorder="1" applyAlignment="1">
      <alignment horizontal="center" vertical="top"/>
    </xf>
    <xf numFmtId="0" fontId="22" fillId="0" borderId="2" xfId="1" applyFont="1" applyBorder="1" applyAlignment="1">
      <alignment horizontal="center" vertical="top"/>
    </xf>
    <xf numFmtId="0" fontId="22" fillId="0" borderId="4" xfId="1" applyFont="1" applyBorder="1" applyAlignment="1">
      <alignment horizontal="center" vertical="top"/>
    </xf>
    <xf numFmtId="49" fontId="23" fillId="0" borderId="3" xfId="1" applyNumberFormat="1" applyFont="1" applyBorder="1" applyAlignment="1">
      <alignment horizontal="center" vertical="top"/>
    </xf>
    <xf numFmtId="49" fontId="23" fillId="0" borderId="4" xfId="1" applyNumberFormat="1" applyFont="1" applyBorder="1" applyAlignment="1">
      <alignment horizontal="center" vertical="top"/>
    </xf>
    <xf numFmtId="0" fontId="23" fillId="0" borderId="2" xfId="1" applyFont="1" applyBorder="1" applyAlignment="1">
      <alignment horizontal="center" vertical="top"/>
    </xf>
    <xf numFmtId="0" fontId="17" fillId="0" borderId="4" xfId="1" applyFont="1" applyBorder="1" applyAlignment="1">
      <alignment horizontal="center" vertical="top"/>
    </xf>
    <xf numFmtId="49" fontId="23" fillId="0" borderId="0" xfId="1" applyNumberFormat="1" applyFont="1" applyAlignment="1">
      <alignment horizontal="left" vertical="top"/>
    </xf>
    <xf numFmtId="49" fontId="13" fillId="0" borderId="6" xfId="1" applyNumberFormat="1" applyFont="1" applyBorder="1" applyAlignment="1">
      <alignment horizontal="left" vertical="top" shrinkToFit="1"/>
    </xf>
    <xf numFmtId="49" fontId="13" fillId="0" borderId="0" xfId="1" applyNumberFormat="1" applyFont="1" applyAlignment="1">
      <alignment horizontal="left" vertical="top" wrapText="1"/>
    </xf>
    <xf numFmtId="49" fontId="13" fillId="0" borderId="6" xfId="1" applyNumberFormat="1" applyFont="1" applyBorder="1" applyAlignment="1">
      <alignment horizontal="left" vertical="top" wrapText="1"/>
    </xf>
    <xf numFmtId="49" fontId="13" fillId="0" borderId="7" xfId="1" applyNumberFormat="1" applyFont="1" applyBorder="1" applyAlignment="1">
      <alignment horizontal="left" vertical="top" shrinkToFit="1"/>
    </xf>
    <xf numFmtId="49" fontId="23" fillId="0" borderId="0" xfId="1" applyNumberFormat="1" applyFont="1" applyAlignment="1">
      <alignment horizontal="center" vertical="top" shrinkToFit="1"/>
    </xf>
    <xf numFmtId="49" fontId="8" fillId="0" borderId="0" xfId="1" applyNumberFormat="1" applyFont="1" applyAlignment="1">
      <alignment horizontal="center" vertical="top" wrapText="1"/>
    </xf>
    <xf numFmtId="0" fontId="8" fillId="0" borderId="1" xfId="1" applyFont="1" applyBorder="1" applyAlignment="1">
      <alignment horizontal="right" vertical="top" shrinkToFit="1"/>
    </xf>
    <xf numFmtId="0" fontId="8" fillId="0" borderId="1" xfId="1" applyFont="1" applyBorder="1" applyAlignment="1">
      <alignment horizontal="left" vertical="top" shrinkToFit="1"/>
    </xf>
    <xf numFmtId="49" fontId="20" fillId="0" borderId="0" xfId="1" applyNumberFormat="1" applyFont="1" applyAlignment="1">
      <alignment horizontal="center" vertical="top"/>
    </xf>
    <xf numFmtId="49" fontId="13" fillId="0" borderId="0" xfId="1" applyNumberFormat="1" applyFont="1" applyAlignment="1">
      <alignment horizontal="left" vertical="top" shrinkToFit="1"/>
    </xf>
    <xf numFmtId="0" fontId="13" fillId="0" borderId="0" xfId="1" applyFont="1" applyAlignment="1">
      <alignment horizontal="left" vertical="top" shrinkToFit="1"/>
    </xf>
    <xf numFmtId="0" fontId="22" fillId="0" borderId="0" xfId="1" applyFont="1" applyAlignment="1">
      <alignment horizontal="left" vertical="top" shrinkToFit="1"/>
    </xf>
    <xf numFmtId="49" fontId="8" fillId="0" borderId="0" xfId="1" applyNumberFormat="1" applyFont="1" applyAlignment="1">
      <alignment horizontal="right" vertical="top"/>
    </xf>
    <xf numFmtId="0" fontId="8" fillId="0" borderId="0" xfId="1" applyFont="1" applyAlignment="1">
      <alignment horizontal="right" vertical="top"/>
    </xf>
    <xf numFmtId="0" fontId="13" fillId="0" borderId="0" xfId="1" applyNumberFormat="1" applyFont="1" applyAlignment="1">
      <alignment horizontal="left" vertical="top"/>
    </xf>
    <xf numFmtId="0" fontId="17" fillId="0" borderId="14" xfId="3" applyFont="1" applyBorder="1">
      <alignment vertical="center"/>
    </xf>
    <xf numFmtId="0" fontId="14" fillId="0" borderId="12" xfId="3" applyFont="1" applyBorder="1" applyAlignment="1">
      <alignment horizontal="center" vertical="center"/>
    </xf>
    <xf numFmtId="0" fontId="17" fillId="0" borderId="14" xfId="3" applyFont="1" applyBorder="1" applyAlignment="1">
      <alignment horizontal="center" vertical="center"/>
    </xf>
    <xf numFmtId="0" fontId="27" fillId="0" borderId="18" xfId="3" applyFont="1" applyBorder="1" applyAlignment="1">
      <alignment horizontal="center" vertical="center"/>
    </xf>
    <xf numFmtId="49" fontId="13" fillId="0" borderId="0" xfId="1" applyNumberFormat="1" applyFont="1" applyAlignment="1">
      <alignment horizontal="left" vertical="top"/>
    </xf>
    <xf numFmtId="0" fontId="27" fillId="0" borderId="18" xfId="3" applyFont="1" applyBorder="1" applyAlignment="1">
      <alignment horizontal="center" vertical="center"/>
    </xf>
    <xf numFmtId="0" fontId="27" fillId="0" borderId="17" xfId="3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85" fontId="27" fillId="0" borderId="11" xfId="3" applyNumberFormat="1" applyFont="1" applyBorder="1" applyAlignment="1">
      <alignment horizontal="center" vertical="center"/>
    </xf>
    <xf numFmtId="0" fontId="27" fillId="0" borderId="16" xfId="3" applyFont="1" applyBorder="1">
      <alignment vertical="center"/>
    </xf>
    <xf numFmtId="0" fontId="17" fillId="0" borderId="15" xfId="3" applyFont="1" applyBorder="1" applyAlignment="1">
      <alignment horizontal="center" vertical="center"/>
    </xf>
    <xf numFmtId="0" fontId="27" fillId="0" borderId="13" xfId="3" applyFont="1" applyBorder="1" applyAlignment="1">
      <alignment horizontal="center" vertical="center"/>
    </xf>
    <xf numFmtId="0" fontId="26" fillId="0" borderId="11" xfId="3" applyFont="1" applyBorder="1">
      <alignment vertical="center"/>
    </xf>
    <xf numFmtId="0" fontId="27" fillId="0" borderId="30" xfId="3" applyFont="1" applyBorder="1" applyAlignment="1">
      <alignment horizontal="center" vertical="center"/>
    </xf>
    <xf numFmtId="0" fontId="27" fillId="0" borderId="14" xfId="3" applyFont="1" applyBorder="1" applyAlignment="1">
      <alignment horizontal="center" vertical="center"/>
    </xf>
    <xf numFmtId="0" fontId="27" fillId="0" borderId="13" xfId="3" applyFont="1" applyBorder="1" applyAlignment="1">
      <alignment horizontal="center" vertical="center"/>
    </xf>
    <xf numFmtId="0" fontId="14" fillId="0" borderId="11" xfId="3" applyFont="1" applyBorder="1" applyAlignment="1">
      <alignment horizontal="center" vertical="center"/>
    </xf>
    <xf numFmtId="0" fontId="27" fillId="0" borderId="13" xfId="3" applyFont="1" applyBorder="1" applyAlignment="1">
      <alignment horizontal="center" vertical="center"/>
    </xf>
    <xf numFmtId="185" fontId="27" fillId="0" borderId="17" xfId="3" applyNumberFormat="1" applyFont="1" applyBorder="1" applyAlignment="1">
      <alignment horizontal="center" vertical="center"/>
    </xf>
    <xf numFmtId="0" fontId="27" fillId="0" borderId="27" xfId="3" applyFont="1" applyBorder="1" applyAlignment="1">
      <alignment horizontal="center" vertical="center"/>
    </xf>
    <xf numFmtId="0" fontId="27" fillId="0" borderId="11" xfId="3" applyFont="1" applyBorder="1" applyAlignment="1">
      <alignment horizontal="center" vertical="center"/>
    </xf>
    <xf numFmtId="0" fontId="17" fillId="0" borderId="14" xfId="3" applyFont="1" applyBorder="1" applyAlignment="1">
      <alignment horizontal="center" vertical="center"/>
    </xf>
    <xf numFmtId="0" fontId="1" fillId="0" borderId="0" xfId="3">
      <alignment vertical="center"/>
    </xf>
    <xf numFmtId="0" fontId="26" fillId="0" borderId="11" xfId="3" applyFont="1" applyBorder="1">
      <alignment vertical="center"/>
    </xf>
    <xf numFmtId="0" fontId="1" fillId="0" borderId="0" xfId="3">
      <alignment vertical="center"/>
    </xf>
    <xf numFmtId="0" fontId="27" fillId="0" borderId="10" xfId="3" applyFont="1" applyBorder="1" applyAlignment="1">
      <alignment horizontal="center" vertical="center"/>
    </xf>
    <xf numFmtId="0" fontId="28" fillId="0" borderId="23" xfId="3" applyFont="1" applyBorder="1" applyAlignment="1">
      <alignment horizontal="center" vertical="center"/>
    </xf>
    <xf numFmtId="0" fontId="26" fillId="0" borderId="12" xfId="3" applyFont="1" applyBorder="1" applyAlignment="1">
      <alignment horizontal="center" vertical="center"/>
    </xf>
    <xf numFmtId="0" fontId="17" fillId="0" borderId="15" xfId="3" applyFont="1" applyBorder="1" applyAlignment="1">
      <alignment horizontal="center" vertical="center"/>
    </xf>
    <xf numFmtId="0" fontId="27" fillId="0" borderId="17" xfId="3" applyFont="1" applyBorder="1" applyAlignment="1">
      <alignment horizontal="center" vertical="center"/>
    </xf>
    <xf numFmtId="0" fontId="27" fillId="0" borderId="0" xfId="3" applyFont="1" applyAlignment="1">
      <alignment horizontal="center" vertical="center"/>
    </xf>
    <xf numFmtId="0" fontId="14" fillId="0" borderId="17" xfId="3" applyFont="1" applyBorder="1" applyAlignment="1">
      <alignment horizontal="center" vertical="center"/>
    </xf>
    <xf numFmtId="0" fontId="26" fillId="0" borderId="10" xfId="3" applyFont="1" applyBorder="1" applyAlignment="1">
      <alignment horizontal="center" vertical="center"/>
    </xf>
    <xf numFmtId="0" fontId="17" fillId="0" borderId="15" xfId="3" applyFont="1" applyBorder="1" applyAlignment="1">
      <alignment horizontal="center" vertical="center"/>
    </xf>
    <xf numFmtId="185" fontId="27" fillId="0" borderId="11" xfId="3" applyNumberFormat="1" applyFont="1" applyBorder="1" applyAlignment="1">
      <alignment horizontal="center" vertical="center"/>
    </xf>
    <xf numFmtId="0" fontId="17" fillId="0" borderId="14" xfId="3" applyFont="1" applyBorder="1">
      <alignment vertical="center"/>
    </xf>
    <xf numFmtId="0" fontId="17" fillId="0" borderId="14" xfId="3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/>
    </xf>
    <xf numFmtId="0" fontId="27" fillId="0" borderId="14" xfId="3" applyFont="1" applyBorder="1">
      <alignment vertical="center"/>
    </xf>
    <xf numFmtId="0" fontId="2" fillId="0" borderId="0" xfId="1" applyNumberFormat="1" applyFont="1" applyAlignment="1">
      <alignment horizontal="center" vertical="top"/>
    </xf>
    <xf numFmtId="0" fontId="27" fillId="0" borderId="0" xfId="3" applyFont="1" applyBorder="1" applyAlignment="1">
      <alignment horizontal="center" vertical="center"/>
    </xf>
    <xf numFmtId="0" fontId="27" fillId="0" borderId="26" xfId="3" applyFont="1" applyBorder="1" applyAlignment="1">
      <alignment horizontal="center" vertical="center"/>
    </xf>
    <xf numFmtId="0" fontId="26" fillId="0" borderId="12" xfId="3" applyFont="1" applyBorder="1" applyAlignment="1">
      <alignment horizontal="center" vertical="center"/>
    </xf>
    <xf numFmtId="0" fontId="27" fillId="0" borderId="0" xfId="3" applyFont="1" applyAlignment="1">
      <alignment horizontal="center" vertical="center"/>
    </xf>
    <xf numFmtId="0" fontId="17" fillId="0" borderId="14" xfId="3" applyFont="1" applyBorder="1" applyAlignment="1">
      <alignment horizontal="center" vertical="center"/>
    </xf>
    <xf numFmtId="0" fontId="17" fillId="0" borderId="14" xfId="3" applyFont="1" applyBorder="1" applyAlignment="1">
      <alignment horizontal="center" vertical="center"/>
    </xf>
    <xf numFmtId="0" fontId="14" fillId="0" borderId="11" xfId="3" applyFont="1" applyBorder="1" applyAlignment="1">
      <alignment horizontal="center" vertical="center"/>
    </xf>
    <xf numFmtId="0" fontId="14" fillId="0" borderId="14" xfId="3" applyFont="1" applyBorder="1" applyAlignment="1">
      <alignment horizontal="center" vertical="center"/>
    </xf>
    <xf numFmtId="0" fontId="27" fillId="0" borderId="11" xfId="3" applyFont="1" applyBorder="1" applyAlignment="1">
      <alignment horizontal="center" vertical="center"/>
    </xf>
    <xf numFmtId="0" fontId="17" fillId="0" borderId="15" xfId="3" applyFont="1" applyBorder="1" applyAlignment="1">
      <alignment horizontal="center" vertical="center"/>
    </xf>
    <xf numFmtId="0" fontId="27" fillId="0" borderId="13" xfId="3" applyFont="1" applyBorder="1" applyAlignment="1">
      <alignment horizontal="center" vertical="center"/>
    </xf>
    <xf numFmtId="0" fontId="14" fillId="0" borderId="14" xfId="3" applyFont="1" applyBorder="1" applyAlignment="1">
      <alignment horizontal="center" vertical="center"/>
    </xf>
    <xf numFmtId="0" fontId="27" fillId="0" borderId="10" xfId="3" applyFont="1" applyBorder="1" applyAlignment="1">
      <alignment horizontal="center" vertical="center"/>
    </xf>
    <xf numFmtId="0" fontId="14" fillId="0" borderId="12" xfId="3" applyFont="1" applyBorder="1" applyAlignment="1">
      <alignment horizontal="center" vertical="center"/>
    </xf>
    <xf numFmtId="0" fontId="14" fillId="0" borderId="12" xfId="3" applyFont="1" applyBorder="1" applyAlignment="1">
      <alignment horizontal="center" vertical="center"/>
    </xf>
    <xf numFmtId="0" fontId="27" fillId="0" borderId="13" xfId="3" applyFont="1" applyBorder="1" applyAlignment="1">
      <alignment horizontal="center" vertical="center"/>
    </xf>
    <xf numFmtId="0" fontId="28" fillId="0" borderId="23" xfId="3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0" fontId="27" fillId="0" borderId="16" xfId="3" applyFont="1" applyBorder="1" applyAlignment="1">
      <alignment horizontal="center" vertical="center"/>
    </xf>
    <xf numFmtId="0" fontId="28" fillId="0" borderId="16" xfId="3" applyFont="1" applyBorder="1" applyAlignment="1">
      <alignment horizontal="center" vertical="center"/>
    </xf>
    <xf numFmtId="0" fontId="1" fillId="0" borderId="0" xfId="3">
      <alignment vertical="center"/>
    </xf>
    <xf numFmtId="0" fontId="17" fillId="0" borderId="15" xfId="3" applyFont="1" applyBorder="1" applyAlignment="1">
      <alignment horizontal="center" vertical="center"/>
    </xf>
    <xf numFmtId="0" fontId="27" fillId="0" borderId="12" xfId="3" applyFont="1" applyBorder="1" applyAlignment="1">
      <alignment horizontal="center" vertical="center"/>
    </xf>
    <xf numFmtId="0" fontId="17" fillId="0" borderId="14" xfId="3" applyFont="1" applyBorder="1">
      <alignment vertical="center"/>
    </xf>
    <xf numFmtId="185" fontId="27" fillId="0" borderId="14" xfId="3" applyNumberFormat="1" applyFont="1" applyBorder="1" applyAlignment="1">
      <alignment horizontal="center" vertical="center"/>
    </xf>
    <xf numFmtId="0" fontId="27" fillId="0" borderId="14" xfId="3" applyFont="1" applyBorder="1">
      <alignment vertical="center"/>
    </xf>
    <xf numFmtId="0" fontId="26" fillId="0" borderId="11" xfId="3" applyFont="1" applyBorder="1">
      <alignment vertical="center"/>
    </xf>
    <xf numFmtId="0" fontId="26" fillId="0" borderId="12" xfId="3" applyFont="1" applyBorder="1" applyAlignment="1">
      <alignment horizontal="center" vertical="center"/>
    </xf>
    <xf numFmtId="0" fontId="27" fillId="0" borderId="14" xfId="3" applyFont="1" applyBorder="1" applyAlignment="1">
      <alignment horizontal="center" vertical="center"/>
    </xf>
    <xf numFmtId="0" fontId="26" fillId="0" borderId="11" xfId="3" applyFont="1" applyBorder="1">
      <alignment vertical="center"/>
    </xf>
    <xf numFmtId="0" fontId="27" fillId="0" borderId="17" xfId="3" applyFont="1" applyBorder="1" applyAlignment="1">
      <alignment horizontal="center" vertical="center"/>
    </xf>
    <xf numFmtId="0" fontId="27" fillId="0" borderId="28" xfId="3" applyFont="1" applyBorder="1" applyAlignment="1">
      <alignment horizontal="center" vertical="center"/>
    </xf>
    <xf numFmtId="185" fontId="27" fillId="0" borderId="11" xfId="3" applyNumberFormat="1" applyFont="1" applyBorder="1" applyAlignment="1">
      <alignment horizontal="center" vertical="center"/>
    </xf>
    <xf numFmtId="0" fontId="27" fillId="0" borderId="16" xfId="3" applyFont="1" applyBorder="1">
      <alignment vertical="center"/>
    </xf>
    <xf numFmtId="185" fontId="27" fillId="0" borderId="11" xfId="3" applyNumberFormat="1" applyFont="1" applyBorder="1" applyAlignment="1">
      <alignment horizontal="center" vertical="center"/>
    </xf>
    <xf numFmtId="0" fontId="27" fillId="0" borderId="13" xfId="3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85" fontId="27" fillId="0" borderId="11" xfId="3" applyNumberFormat="1" applyFont="1" applyBorder="1" applyAlignment="1">
      <alignment horizontal="center" vertical="center"/>
    </xf>
    <xf numFmtId="0" fontId="27" fillId="0" borderId="13" xfId="3" applyFont="1" applyBorder="1" applyAlignment="1">
      <alignment horizontal="center" vertical="center"/>
    </xf>
    <xf numFmtId="0" fontId="14" fillId="0" borderId="14" xfId="3" applyFont="1" applyBorder="1" applyAlignment="1">
      <alignment horizontal="center" vertical="center"/>
    </xf>
    <xf numFmtId="185" fontId="27" fillId="0" borderId="17" xfId="3" applyNumberFormat="1" applyFont="1" applyBorder="1" applyAlignment="1">
      <alignment horizontal="center" vertical="center"/>
    </xf>
    <xf numFmtId="0" fontId="27" fillId="0" borderId="16" xfId="3" applyFont="1" applyBorder="1" applyAlignment="1">
      <alignment horizontal="center" vertical="center"/>
    </xf>
    <xf numFmtId="0" fontId="17" fillId="0" borderId="14" xfId="3" applyFont="1" applyBorder="1">
      <alignment vertical="center"/>
    </xf>
    <xf numFmtId="0" fontId="27" fillId="0" borderId="15" xfId="3" applyFont="1" applyBorder="1" applyAlignment="1">
      <alignment horizontal="center" vertical="center"/>
    </xf>
    <xf numFmtId="0" fontId="28" fillId="0" borderId="23" xfId="3" applyFont="1" applyBorder="1" applyAlignment="1">
      <alignment horizontal="center" vertical="center"/>
    </xf>
    <xf numFmtId="0" fontId="14" fillId="0" borderId="11" xfId="3" applyFont="1" applyBorder="1" applyAlignment="1">
      <alignment horizontal="center" vertical="center"/>
    </xf>
    <xf numFmtId="0" fontId="27" fillId="0" borderId="0" xfId="3" applyFont="1" applyAlignment="1">
      <alignment horizontal="center" vertical="center"/>
    </xf>
    <xf numFmtId="0" fontId="1" fillId="0" borderId="0" xfId="3">
      <alignment vertical="center"/>
    </xf>
    <xf numFmtId="0" fontId="27" fillId="0" borderId="14" xfId="3" applyFont="1" applyBorder="1">
      <alignment vertical="center"/>
    </xf>
    <xf numFmtId="0" fontId="1" fillId="0" borderId="0" xfId="3">
      <alignment vertical="center"/>
    </xf>
    <xf numFmtId="0" fontId="27" fillId="0" borderId="16" xfId="3" applyFont="1" applyBorder="1" applyAlignment="1">
      <alignment horizontal="center" vertical="center"/>
    </xf>
    <xf numFmtId="0" fontId="14" fillId="0" borderId="12" xfId="3" applyFont="1" applyBorder="1" applyAlignment="1">
      <alignment horizontal="center" vertical="center"/>
    </xf>
    <xf numFmtId="185" fontId="27" fillId="0" borderId="17" xfId="3" applyNumberFormat="1" applyFont="1" applyBorder="1" applyAlignment="1">
      <alignment horizontal="center" vertical="center"/>
    </xf>
    <xf numFmtId="0" fontId="26" fillId="0" borderId="12" xfId="3" applyFont="1" applyBorder="1" applyAlignment="1">
      <alignment horizontal="center" vertical="center"/>
    </xf>
    <xf numFmtId="0" fontId="26" fillId="0" borderId="11" xfId="3" applyFont="1" applyBorder="1">
      <alignment vertical="center"/>
    </xf>
    <xf numFmtId="0" fontId="1" fillId="0" borderId="0" xfId="3">
      <alignment vertical="center"/>
    </xf>
    <xf numFmtId="0" fontId="27" fillId="0" borderId="29" xfId="3" applyFont="1" applyBorder="1" applyAlignment="1">
      <alignment horizontal="center" vertical="center"/>
    </xf>
    <xf numFmtId="0" fontId="14" fillId="0" borderId="14" xfId="3" applyFont="1" applyBorder="1" applyAlignment="1">
      <alignment horizontal="center" vertical="center"/>
    </xf>
    <xf numFmtId="0" fontId="27" fillId="0" borderId="14" xfId="3" applyFont="1" applyBorder="1" applyAlignment="1">
      <alignment horizontal="center" vertical="center"/>
    </xf>
    <xf numFmtId="0" fontId="14" fillId="0" borderId="11" xfId="3" applyFont="1" applyBorder="1" applyAlignment="1">
      <alignment horizontal="center" vertical="center"/>
    </xf>
    <xf numFmtId="0" fontId="27" fillId="0" borderId="18" xfId="3" applyFont="1" applyBorder="1" applyAlignment="1">
      <alignment horizontal="center" vertical="center"/>
    </xf>
    <xf numFmtId="0" fontId="1" fillId="0" borderId="0" xfId="3">
      <alignment vertical="center"/>
    </xf>
    <xf numFmtId="0" fontId="27" fillId="0" borderId="21" xfId="3" applyFont="1" applyBorder="1" applyAlignment="1">
      <alignment horizontal="center" vertical="center"/>
    </xf>
    <xf numFmtId="0" fontId="14" fillId="0" borderId="11" xfId="3" applyFont="1" applyBorder="1" applyAlignment="1">
      <alignment horizontal="center" vertical="center"/>
    </xf>
    <xf numFmtId="180" fontId="13" fillId="0" borderId="9" xfId="1" applyNumberFormat="1" applyFont="1" applyBorder="1" applyAlignment="1">
      <alignment horizontal="left" vertical="top"/>
    </xf>
    <xf numFmtId="0" fontId="27" fillId="0" borderId="10" xfId="3" applyFont="1" applyBorder="1" applyAlignment="1">
      <alignment horizontal="center" vertical="center"/>
    </xf>
    <xf numFmtId="0" fontId="27" fillId="0" borderId="16" xfId="3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/>
    </xf>
    <xf numFmtId="0" fontId="27" fillId="0" borderId="14" xfId="3" applyFont="1" applyBorder="1">
      <alignment vertical="center"/>
    </xf>
    <xf numFmtId="0" fontId="14" fillId="0" borderId="12" xfId="3" applyFont="1" applyBorder="1" applyAlignment="1">
      <alignment horizontal="center" vertical="center"/>
    </xf>
    <xf numFmtId="0" fontId="27" fillId="0" borderId="20" xfId="3" applyFont="1" applyBorder="1" applyAlignment="1">
      <alignment horizontal="center" vertical="center"/>
    </xf>
    <xf numFmtId="0" fontId="14" fillId="0" borderId="14" xfId="3" applyFont="1" applyBorder="1" applyAlignment="1">
      <alignment horizontal="center" vertical="center"/>
    </xf>
    <xf numFmtId="0" fontId="27" fillId="0" borderId="16" xfId="3" applyFont="1" applyBorder="1" applyAlignment="1">
      <alignment horizontal="center" vertical="center"/>
    </xf>
    <xf numFmtId="0" fontId="27" fillId="0" borderId="14" xfId="3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0" fontId="28" fillId="0" borderId="16" xfId="3" applyFont="1" applyBorder="1" applyAlignment="1">
      <alignment horizontal="center" vertical="center"/>
    </xf>
    <xf numFmtId="0" fontId="17" fillId="0" borderId="14" xfId="3" applyFont="1" applyBorder="1">
      <alignment vertical="center"/>
    </xf>
    <xf numFmtId="0" fontId="27" fillId="0" borderId="10" xfId="3" applyFont="1" applyBorder="1" applyAlignment="1">
      <alignment horizontal="center" vertical="center"/>
    </xf>
    <xf numFmtId="0" fontId="14" fillId="0" borderId="12" xfId="3" applyFont="1" applyBorder="1" applyAlignment="1">
      <alignment horizontal="center" vertical="center"/>
    </xf>
    <xf numFmtId="0" fontId="27" fillId="0" borderId="18" xfId="3" applyFont="1" applyBorder="1" applyAlignment="1">
      <alignment horizontal="center" vertical="center"/>
    </xf>
    <xf numFmtId="0" fontId="27" fillId="0" borderId="0" xfId="3" applyFont="1" applyAlignment="1">
      <alignment horizontal="center" vertical="center"/>
    </xf>
    <xf numFmtId="0" fontId="26" fillId="0" borderId="21" xfId="3" applyFont="1" applyBorder="1" applyAlignment="1">
      <alignment horizontal="center" vertical="center"/>
    </xf>
    <xf numFmtId="0" fontId="27" fillId="0" borderId="14" xfId="3" applyFont="1" applyBorder="1" applyAlignment="1">
      <alignment horizontal="center" vertical="center"/>
    </xf>
    <xf numFmtId="0" fontId="27" fillId="0" borderId="0" xfId="3" applyFont="1" applyAlignment="1">
      <alignment horizontal="center" vertical="center"/>
    </xf>
    <xf numFmtId="0" fontId="26" fillId="0" borderId="11" xfId="3" applyFont="1" applyBorder="1">
      <alignment vertical="center"/>
    </xf>
    <xf numFmtId="0" fontId="14" fillId="0" borderId="25" xfId="3" applyFont="1" applyBorder="1" applyAlignment="1">
      <alignment horizontal="center" vertical="center"/>
    </xf>
    <xf numFmtId="0" fontId="17" fillId="0" borderId="14" xfId="3" applyFont="1" applyBorder="1" applyAlignment="1">
      <alignment horizontal="center" vertical="center"/>
    </xf>
    <xf numFmtId="0" fontId="27" fillId="0" borderId="18" xfId="3" applyFont="1" applyBorder="1" applyAlignment="1">
      <alignment horizontal="center" vertical="center"/>
    </xf>
    <xf numFmtId="0" fontId="27" fillId="0" borderId="16" xfId="3" applyFont="1" applyBorder="1" applyAlignment="1">
      <alignment horizontal="center" vertical="center"/>
    </xf>
    <xf numFmtId="0" fontId="27" fillId="0" borderId="14" xfId="3" applyFont="1" applyBorder="1" applyAlignment="1">
      <alignment horizontal="center" vertical="center"/>
    </xf>
    <xf numFmtId="0" fontId="14" fillId="0" borderId="11" xfId="3" applyFont="1" applyBorder="1" applyAlignment="1">
      <alignment horizontal="center" vertical="center"/>
    </xf>
    <xf numFmtId="0" fontId="14" fillId="0" borderId="11" xfId="3" applyFont="1" applyBorder="1" applyAlignment="1">
      <alignment horizontal="center" vertical="center"/>
    </xf>
    <xf numFmtId="0" fontId="27" fillId="0" borderId="0" xfId="3" applyFont="1" applyAlignment="1">
      <alignment horizontal="center" vertical="center"/>
    </xf>
    <xf numFmtId="0" fontId="14" fillId="0" borderId="11" xfId="3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/>
    </xf>
    <xf numFmtId="0" fontId="28" fillId="0" borderId="16" xfId="3" applyFont="1" applyBorder="1" applyAlignment="1">
      <alignment horizontal="center" vertical="center"/>
    </xf>
    <xf numFmtId="0" fontId="27" fillId="0" borderId="0" xfId="3" applyFont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0" fontId="27" fillId="0" borderId="14" xfId="3" applyFont="1" applyBorder="1" applyAlignment="1">
      <alignment horizontal="center" vertical="center"/>
    </xf>
    <xf numFmtId="0" fontId="27" fillId="0" borderId="14" xfId="3" applyFont="1" applyBorder="1" applyAlignment="1">
      <alignment horizontal="center" vertical="center"/>
    </xf>
    <xf numFmtId="0" fontId="14" fillId="0" borderId="11" xfId="3" applyFont="1" applyBorder="1" applyAlignment="1">
      <alignment horizontal="center" vertical="center"/>
    </xf>
    <xf numFmtId="0" fontId="27" fillId="0" borderId="10" xfId="3" applyFont="1" applyBorder="1" applyAlignment="1">
      <alignment horizontal="center" vertical="center"/>
    </xf>
    <xf numFmtId="0" fontId="27" fillId="0" borderId="0" xfId="3" applyFont="1" applyAlignment="1">
      <alignment horizontal="center" vertical="center"/>
    </xf>
    <xf numFmtId="0" fontId="28" fillId="0" borderId="16" xfId="3" applyFont="1" applyBorder="1" applyAlignment="1">
      <alignment horizontal="center" vertical="center"/>
    </xf>
    <xf numFmtId="0" fontId="27" fillId="0" borderId="14" xfId="3" applyFont="1" applyBorder="1" applyAlignment="1">
      <alignment horizontal="center" vertical="center"/>
    </xf>
    <xf numFmtId="0" fontId="17" fillId="0" borderId="14" xfId="3" applyFont="1" applyBorder="1">
      <alignment vertical="center"/>
    </xf>
    <xf numFmtId="0" fontId="1" fillId="0" borderId="0" xfId="3">
      <alignment vertical="center"/>
    </xf>
    <xf numFmtId="0" fontId="26" fillId="0" borderId="11" xfId="3" applyFont="1" applyBorder="1">
      <alignment vertical="center"/>
    </xf>
    <xf numFmtId="0" fontId="26" fillId="0" borderId="12" xfId="3" applyFont="1" applyBorder="1" applyAlignment="1">
      <alignment horizontal="center" vertical="center"/>
    </xf>
    <xf numFmtId="0" fontId="27" fillId="0" borderId="18" xfId="3" applyFont="1" applyBorder="1" applyAlignment="1">
      <alignment horizontal="center" vertical="center"/>
    </xf>
    <xf numFmtId="0" fontId="27" fillId="0" borderId="13" xfId="3" applyFont="1" applyBorder="1" applyAlignment="1">
      <alignment horizontal="center" vertical="center"/>
    </xf>
    <xf numFmtId="0" fontId="17" fillId="0" borderId="15" xfId="3" applyFont="1" applyBorder="1" applyAlignment="1">
      <alignment horizontal="center" vertical="center"/>
    </xf>
    <xf numFmtId="0" fontId="27" fillId="0" borderId="10" xfId="3" applyFont="1" applyBorder="1" applyAlignment="1">
      <alignment horizontal="center" vertical="center"/>
    </xf>
    <xf numFmtId="0" fontId="17" fillId="0" borderId="14" xfId="3" applyFont="1" applyBorder="1">
      <alignment vertical="center"/>
    </xf>
    <xf numFmtId="0" fontId="17" fillId="0" borderId="14" xfId="3" applyFont="1" applyBorder="1" applyAlignment="1">
      <alignment horizontal="center" vertical="center"/>
    </xf>
    <xf numFmtId="0" fontId="27" fillId="0" borderId="16" xfId="3" applyFont="1" applyBorder="1">
      <alignment vertical="center"/>
    </xf>
    <xf numFmtId="0" fontId="27" fillId="0" borderId="14" xfId="3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0" fontId="17" fillId="0" borderId="14" xfId="3" applyFont="1" applyBorder="1" applyAlignment="1">
      <alignment horizontal="center" vertical="center"/>
    </xf>
    <xf numFmtId="0" fontId="26" fillId="0" borderId="13" xfId="3" applyFont="1" applyBorder="1" applyAlignment="1">
      <alignment horizontal="center" vertical="center"/>
    </xf>
    <xf numFmtId="0" fontId="27" fillId="0" borderId="13" xfId="3" applyFont="1" applyBorder="1" applyAlignment="1">
      <alignment horizontal="center" vertical="center"/>
    </xf>
    <xf numFmtId="0" fontId="27" fillId="0" borderId="14" xfId="3" applyFont="1" applyBorder="1" applyAlignment="1">
      <alignment horizontal="center" vertical="center"/>
    </xf>
    <xf numFmtId="185" fontId="27" fillId="0" borderId="25" xfId="3" applyNumberFormat="1" applyFont="1" applyBorder="1" applyAlignment="1">
      <alignment horizontal="center" vertical="center"/>
    </xf>
    <xf numFmtId="185" fontId="27" fillId="0" borderId="17" xfId="3" applyNumberFormat="1" applyFont="1" applyBorder="1" applyAlignment="1">
      <alignment horizontal="center" vertical="center"/>
    </xf>
    <xf numFmtId="0" fontId="14" fillId="0" borderId="12" xfId="3" applyFont="1" applyBorder="1" applyAlignment="1">
      <alignment horizontal="center" vertical="center"/>
    </xf>
    <xf numFmtId="0" fontId="26" fillId="0" borderId="11" xfId="3" applyFont="1" applyBorder="1">
      <alignment vertical="center"/>
    </xf>
    <xf numFmtId="0" fontId="27" fillId="0" borderId="29" xfId="3" applyFont="1" applyBorder="1" applyAlignment="1">
      <alignment horizontal="center" vertical="center"/>
    </xf>
    <xf numFmtId="0" fontId="17" fillId="0" borderId="15" xfId="3" applyFont="1" applyBorder="1" applyAlignment="1">
      <alignment horizontal="center" vertical="center"/>
    </xf>
    <xf numFmtId="0" fontId="14" fillId="0" borderId="14" xfId="3" applyFont="1" applyBorder="1" applyAlignment="1">
      <alignment horizontal="center" vertical="center"/>
    </xf>
    <xf numFmtId="0" fontId="27" fillId="0" borderId="28" xfId="3" applyFont="1" applyBorder="1" applyAlignment="1">
      <alignment horizontal="center" vertical="center"/>
    </xf>
    <xf numFmtId="185" fontId="27" fillId="0" borderId="11" xfId="3" applyNumberFormat="1" applyFont="1" applyBorder="1" applyAlignment="1">
      <alignment horizontal="center" vertical="center"/>
    </xf>
    <xf numFmtId="0" fontId="27" fillId="0" borderId="16" xfId="3" applyFont="1" applyBorder="1" applyAlignment="1">
      <alignment horizontal="center" vertical="center"/>
    </xf>
    <xf numFmtId="0" fontId="27" fillId="0" borderId="19" xfId="3" applyFont="1" applyBorder="1" applyAlignment="1">
      <alignment horizontal="center" vertical="center"/>
    </xf>
    <xf numFmtId="0" fontId="27" fillId="0" borderId="16" xfId="3" applyFont="1" applyBorder="1">
      <alignment vertical="center"/>
    </xf>
    <xf numFmtId="0" fontId="27" fillId="0" borderId="16" xfId="3" applyFont="1" applyBorder="1" applyAlignment="1">
      <alignment horizontal="center" vertical="center"/>
    </xf>
    <xf numFmtId="0" fontId="27" fillId="0" borderId="13" xfId="3" applyFont="1" applyBorder="1" applyAlignment="1">
      <alignment horizontal="center" vertical="center"/>
    </xf>
    <xf numFmtId="0" fontId="27" fillId="0" borderId="14" xfId="3" applyFont="1" applyBorder="1" applyAlignment="1">
      <alignment horizontal="center" vertical="center"/>
    </xf>
    <xf numFmtId="0" fontId="27" fillId="0" borderId="11" xfId="3" applyFont="1" applyBorder="1" applyAlignment="1">
      <alignment horizontal="center" vertical="center"/>
    </xf>
    <xf numFmtId="0" fontId="27" fillId="0" borderId="0" xfId="3" applyFont="1" applyAlignment="1">
      <alignment horizontal="center" vertical="center"/>
    </xf>
    <xf numFmtId="0" fontId="27" fillId="0" borderId="14" xfId="3" applyFont="1" applyBorder="1">
      <alignment vertical="center"/>
    </xf>
    <xf numFmtId="0" fontId="14" fillId="0" borderId="12" xfId="3" applyFont="1" applyBorder="1" applyAlignment="1">
      <alignment horizontal="center" vertical="center"/>
    </xf>
    <xf numFmtId="0" fontId="26" fillId="0" borderId="24" xfId="3" applyFont="1" applyBorder="1" applyAlignment="1">
      <alignment horizontal="center" vertical="center"/>
    </xf>
    <xf numFmtId="0" fontId="27" fillId="0" borderId="16" xfId="3" applyFont="1" applyBorder="1">
      <alignment vertical="center"/>
    </xf>
    <xf numFmtId="0" fontId="27" fillId="0" borderId="13" xfId="3" applyFont="1" applyBorder="1" applyAlignment="1">
      <alignment horizontal="center" vertical="center"/>
    </xf>
    <xf numFmtId="0" fontId="14" fillId="0" borderId="14" xfId="3" applyFont="1" applyBorder="1" applyAlignment="1">
      <alignment horizontal="center" vertical="center"/>
    </xf>
    <xf numFmtId="0" fontId="14" fillId="0" borderId="14" xfId="3" applyFont="1" applyBorder="1" applyAlignment="1">
      <alignment horizontal="center" vertical="center"/>
    </xf>
    <xf numFmtId="0" fontId="14" fillId="0" borderId="12" xfId="3" applyFont="1" applyBorder="1" applyAlignment="1">
      <alignment horizontal="center" vertical="center"/>
    </xf>
    <xf numFmtId="0" fontId="27" fillId="0" borderId="21" xfId="3" applyFont="1" applyBorder="1" applyAlignment="1">
      <alignment horizontal="center" vertical="center"/>
    </xf>
    <xf numFmtId="0" fontId="27" fillId="0" borderId="27" xfId="3" applyFont="1" applyBorder="1" applyAlignment="1">
      <alignment horizontal="center" vertical="center"/>
    </xf>
    <xf numFmtId="0" fontId="27" fillId="0" borderId="0" xfId="3" applyFont="1" applyAlignment="1">
      <alignment horizontal="center" vertical="center"/>
    </xf>
    <xf numFmtId="0" fontId="28" fillId="0" borderId="16" xfId="3" applyFont="1" applyBorder="1" applyAlignment="1">
      <alignment horizontal="center" vertical="center"/>
    </xf>
    <xf numFmtId="0" fontId="14" fillId="0" borderId="14" xfId="3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0" fontId="27" fillId="0" borderId="14" xfId="3" applyFont="1" applyBorder="1">
      <alignment vertical="center"/>
    </xf>
    <xf numFmtId="0" fontId="26" fillId="0" borderId="11" xfId="3" applyFont="1" applyBorder="1" applyAlignment="1">
      <alignment horizontal="center" vertical="center"/>
    </xf>
    <xf numFmtId="0" fontId="17" fillId="0" borderId="14" xfId="3" applyFont="1" applyBorder="1" applyAlignment="1">
      <alignment horizontal="center" vertical="center"/>
    </xf>
    <xf numFmtId="0" fontId="14" fillId="0" borderId="11" xfId="3" applyFont="1" applyBorder="1" applyAlignment="1">
      <alignment horizontal="center" vertical="center"/>
    </xf>
    <xf numFmtId="0" fontId="27" fillId="0" borderId="14" xfId="3" applyFont="1" applyBorder="1">
      <alignment vertical="center"/>
    </xf>
    <xf numFmtId="0" fontId="17" fillId="0" borderId="15" xfId="3" applyFont="1" applyBorder="1" applyAlignment="1">
      <alignment horizontal="center" vertical="center"/>
    </xf>
    <xf numFmtId="0" fontId="27" fillId="0" borderId="17" xfId="3" applyFont="1" applyBorder="1" applyAlignment="1">
      <alignment horizontal="center" vertical="center"/>
    </xf>
    <xf numFmtId="0" fontId="1" fillId="0" borderId="0" xfId="3">
      <alignment vertical="center"/>
    </xf>
    <xf numFmtId="0" fontId="27" fillId="0" borderId="18" xfId="3" applyFont="1" applyBorder="1" applyAlignment="1">
      <alignment horizontal="center" vertical="center"/>
    </xf>
    <xf numFmtId="0" fontId="28" fillId="0" borderId="16" xfId="3" applyFont="1" applyBorder="1" applyAlignment="1">
      <alignment horizontal="center" vertical="center"/>
    </xf>
    <xf numFmtId="0" fontId="27" fillId="0" borderId="12" xfId="3" applyFont="1" applyBorder="1" applyAlignment="1">
      <alignment horizontal="center" vertical="center"/>
    </xf>
    <xf numFmtId="185" fontId="27" fillId="0" borderId="11" xfId="3" applyNumberFormat="1" applyFont="1" applyBorder="1" applyAlignment="1">
      <alignment horizontal="center" vertical="center"/>
    </xf>
    <xf numFmtId="185" fontId="27" fillId="0" borderId="11" xfId="3" applyNumberFormat="1" applyFont="1" applyBorder="1" applyAlignment="1">
      <alignment horizontal="center" vertical="center"/>
    </xf>
    <xf numFmtId="0" fontId="17" fillId="0" borderId="15" xfId="3" applyFont="1" applyBorder="1" applyAlignment="1">
      <alignment horizontal="center" vertical="center"/>
    </xf>
    <xf numFmtId="0" fontId="27" fillId="0" borderId="16" xfId="3" applyFont="1" applyBorder="1" applyAlignment="1">
      <alignment horizontal="center" vertical="center"/>
    </xf>
    <xf numFmtId="0" fontId="27" fillId="0" borderId="16" xfId="3" applyFont="1" applyBorder="1" applyAlignment="1">
      <alignment horizontal="center" vertical="center"/>
    </xf>
    <xf numFmtId="0" fontId="14" fillId="0" borderId="14" xfId="3" applyFont="1" applyBorder="1" applyAlignment="1">
      <alignment horizontal="center" vertical="center"/>
    </xf>
    <xf numFmtId="0" fontId="17" fillId="0" borderId="14" xfId="3" applyFont="1" applyBorder="1">
      <alignment vertical="center"/>
    </xf>
    <xf numFmtId="0" fontId="1" fillId="0" borderId="0" xfId="3">
      <alignment vertical="center"/>
    </xf>
    <xf numFmtId="0" fontId="27" fillId="0" borderId="15" xfId="3" applyFont="1" applyBorder="1" applyAlignment="1">
      <alignment horizontal="center" vertical="center"/>
    </xf>
    <xf numFmtId="0" fontId="27" fillId="0" borderId="16" xfId="3" applyFont="1" applyBorder="1" applyAlignment="1">
      <alignment horizontal="center" vertical="center"/>
    </xf>
    <xf numFmtId="0" fontId="27" fillId="0" borderId="21" xfId="3" applyFont="1" applyBorder="1" applyAlignment="1">
      <alignment horizontal="center" vertical="center"/>
    </xf>
    <xf numFmtId="0" fontId="1" fillId="0" borderId="0" xfId="3">
      <alignment vertical="center"/>
    </xf>
    <xf numFmtId="0" fontId="27" fillId="0" borderId="21" xfId="3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0" fontId="27" fillId="0" borderId="16" xfId="3" applyFont="1" applyBorder="1" applyAlignment="1">
      <alignment horizontal="center" vertical="center"/>
    </xf>
    <xf numFmtId="185" fontId="27" fillId="0" borderId="17" xfId="3" applyNumberFormat="1" applyFont="1" applyBorder="1" applyAlignment="1">
      <alignment horizontal="center" vertical="center"/>
    </xf>
    <xf numFmtId="0" fontId="27" fillId="0" borderId="16" xfId="3" applyFont="1" applyBorder="1">
      <alignment vertical="center"/>
    </xf>
    <xf numFmtId="0" fontId="27" fillId="0" borderId="0" xfId="3" applyFont="1" applyAlignment="1">
      <alignment horizontal="center" vertical="center"/>
    </xf>
    <xf numFmtId="0" fontId="28" fillId="0" borderId="16" xfId="3" applyFont="1" applyBorder="1" applyAlignment="1">
      <alignment horizontal="center" vertical="center"/>
    </xf>
    <xf numFmtId="0" fontId="27" fillId="0" borderId="18" xfId="3" applyFont="1" applyBorder="1" applyAlignment="1">
      <alignment horizontal="center" vertical="center"/>
    </xf>
    <xf numFmtId="0" fontId="27" fillId="0" borderId="14" xfId="3" applyFont="1" applyBorder="1">
      <alignment vertical="center"/>
    </xf>
    <xf numFmtId="0" fontId="27" fillId="0" borderId="26" xfId="3" applyFont="1" applyBorder="1" applyAlignment="1">
      <alignment horizontal="center" vertical="center"/>
    </xf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top"/>
    </xf>
    <xf numFmtId="49" fontId="13" fillId="0" borderId="0" xfId="1" applyNumberFormat="1" applyFont="1" applyAlignment="1">
      <alignment horizontal="left" vertical="top"/>
    </xf>
    <xf numFmtId="49" fontId="2" fillId="0" borderId="0" xfId="1" applyNumberFormat="1" applyFont="1" applyAlignment="1">
      <alignment horizontal="center" vertical="top"/>
    </xf>
    <xf numFmtId="0" fontId="25" fillId="0" borderId="0" xfId="0" applyFont="1">
      <alignment vertical="center"/>
    </xf>
    <xf numFmtId="40" fontId="29" fillId="0" borderId="9" xfId="1" applyNumberFormat="1" applyFont="1" applyBorder="1" applyAlignment="1">
      <alignment horizontal="right" vertical="top"/>
    </xf>
    <xf numFmtId="0" fontId="13" fillId="0" borderId="0" xfId="1" applyFont="1" applyAlignment="1">
      <alignment horizontal="left" vertical="top"/>
    </xf>
    <xf numFmtId="0" fontId="13" fillId="0" borderId="0" xfId="1" applyFont="1" applyAlignment="1">
      <alignment horizontal="center" vertical="top"/>
    </xf>
    <xf numFmtId="49" fontId="29" fillId="0" borderId="9" xfId="1" applyNumberFormat="1" applyFont="1" applyBorder="1" applyAlignment="1">
      <alignment horizontal="left" vertical="top"/>
    </xf>
    <xf numFmtId="49" fontId="13" fillId="0" borderId="0" xfId="1" applyNumberFormat="1" applyFont="1" applyAlignment="1">
      <alignment horizontal="center" vertical="top"/>
    </xf>
    <xf numFmtId="40" fontId="29" fillId="0" borderId="0" xfId="1" applyNumberFormat="1" applyFont="1" applyAlignment="1">
      <alignment horizontal="right" vertical="top"/>
    </xf>
    <xf numFmtId="49" fontId="13" fillId="0" borderId="0" xfId="1" applyNumberFormat="1" applyFont="1" applyAlignment="1">
      <alignment horizontal="right" vertical="top"/>
    </xf>
    <xf numFmtId="49" fontId="29" fillId="0" borderId="0" xfId="1" applyNumberFormat="1" applyFont="1" applyAlignment="1">
      <alignment horizontal="left" vertical="top"/>
    </xf>
    <xf numFmtId="0" fontId="27" fillId="0" borderId="12" xfId="3" applyFont="1" applyBorder="1" applyAlignment="1">
      <alignment horizontal="center" vertical="center"/>
    </xf>
    <xf numFmtId="0" fontId="27" fillId="0" borderId="10" xfId="3" applyFont="1" applyBorder="1" applyAlignment="1">
      <alignment horizontal="center" vertical="center"/>
    </xf>
    <xf numFmtId="0" fontId="1" fillId="0" borderId="0" xfId="3">
      <alignment vertical="center"/>
    </xf>
    <xf numFmtId="0" fontId="27" fillId="0" borderId="0" xfId="3" applyFont="1" applyAlignment="1">
      <alignment horizontal="center" vertical="center"/>
    </xf>
    <xf numFmtId="0" fontId="26" fillId="0" borderId="11" xfId="3" applyFont="1" applyBorder="1">
      <alignment vertical="center"/>
    </xf>
    <xf numFmtId="0" fontId="14" fillId="0" borderId="11" xfId="3" applyFont="1" applyBorder="1" applyAlignment="1">
      <alignment horizontal="center" vertical="center"/>
    </xf>
    <xf numFmtId="0" fontId="14" fillId="0" borderId="12" xfId="3" applyFont="1" applyBorder="1" applyAlignment="1">
      <alignment horizontal="center" vertical="center"/>
    </xf>
    <xf numFmtId="0" fontId="27" fillId="0" borderId="13" xfId="3" applyFont="1" applyBorder="1" applyAlignment="1">
      <alignment horizontal="center" vertical="center"/>
    </xf>
    <xf numFmtId="0" fontId="27" fillId="0" borderId="14" xfId="3" applyFont="1" applyBorder="1">
      <alignment vertical="center"/>
    </xf>
    <xf numFmtId="0" fontId="27" fillId="0" borderId="14" xfId="3" applyFont="1" applyBorder="1" applyAlignment="1">
      <alignment horizontal="center" vertical="center"/>
    </xf>
    <xf numFmtId="0" fontId="17" fillId="0" borderId="14" xfId="3" applyFont="1" applyBorder="1">
      <alignment vertical="center"/>
    </xf>
    <xf numFmtId="0" fontId="17" fillId="0" borderId="14" xfId="3" applyFont="1" applyBorder="1" applyAlignment="1">
      <alignment horizontal="center" vertical="center"/>
    </xf>
    <xf numFmtId="0" fontId="17" fillId="0" borderId="15" xfId="3" applyFont="1" applyBorder="1" applyAlignment="1">
      <alignment horizontal="center" vertical="center"/>
    </xf>
    <xf numFmtId="0" fontId="14" fillId="0" borderId="14" xfId="3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0" fontId="27" fillId="0" borderId="21" xfId="3" applyFont="1" applyBorder="1" applyAlignment="1">
      <alignment horizontal="center" vertical="center"/>
    </xf>
    <xf numFmtId="185" fontId="27" fillId="0" borderId="17" xfId="3" applyNumberFormat="1" applyFont="1" applyBorder="1" applyAlignment="1">
      <alignment horizontal="center" vertical="center"/>
    </xf>
    <xf numFmtId="0" fontId="27" fillId="0" borderId="18" xfId="3" applyFont="1" applyBorder="1" applyAlignment="1">
      <alignment horizontal="center" vertical="center"/>
    </xf>
    <xf numFmtId="0" fontId="27" fillId="0" borderId="16" xfId="3" applyFont="1" applyBorder="1">
      <alignment vertical="center"/>
    </xf>
    <xf numFmtId="0" fontId="27" fillId="0" borderId="16" xfId="3" applyFont="1" applyBorder="1" applyAlignment="1">
      <alignment horizontal="center" vertical="center"/>
    </xf>
    <xf numFmtId="0" fontId="28" fillId="0" borderId="16" xfId="3" applyFont="1" applyBorder="1" applyAlignment="1">
      <alignment horizontal="center" vertical="center"/>
    </xf>
    <xf numFmtId="0" fontId="28" fillId="0" borderId="23" xfId="3" applyFont="1" applyBorder="1" applyAlignment="1">
      <alignment horizontal="center" vertical="center"/>
    </xf>
    <xf numFmtId="0" fontId="1" fillId="0" borderId="0" xfId="3">
      <alignment vertical="center"/>
    </xf>
    <xf numFmtId="0" fontId="27" fillId="0" borderId="0" xfId="3" applyFont="1" applyAlignment="1">
      <alignment horizontal="center" vertical="center"/>
    </xf>
    <xf numFmtId="0" fontId="26" fillId="0" borderId="11" xfId="3" applyFont="1" applyBorder="1">
      <alignment vertical="center"/>
    </xf>
    <xf numFmtId="0" fontId="14" fillId="0" borderId="11" xfId="3" applyFont="1" applyBorder="1" applyAlignment="1">
      <alignment horizontal="center" vertical="center"/>
    </xf>
    <xf numFmtId="0" fontId="14" fillId="0" borderId="12" xfId="3" applyFont="1" applyBorder="1" applyAlignment="1">
      <alignment horizontal="center" vertical="center"/>
    </xf>
    <xf numFmtId="0" fontId="27" fillId="0" borderId="13" xfId="3" applyFont="1" applyBorder="1" applyAlignment="1">
      <alignment horizontal="center" vertical="center"/>
    </xf>
    <xf numFmtId="0" fontId="27" fillId="0" borderId="14" xfId="3" applyFont="1" applyBorder="1">
      <alignment vertical="center"/>
    </xf>
    <xf numFmtId="0" fontId="27" fillId="0" borderId="14" xfId="3" applyFont="1" applyBorder="1" applyAlignment="1">
      <alignment horizontal="center" vertical="center"/>
    </xf>
    <xf numFmtId="0" fontId="17" fillId="0" borderId="14" xfId="3" applyFont="1" applyBorder="1">
      <alignment vertical="center"/>
    </xf>
    <xf numFmtId="0" fontId="17" fillId="0" borderId="14" xfId="3" applyFont="1" applyBorder="1" applyAlignment="1">
      <alignment horizontal="center" vertical="center"/>
    </xf>
    <xf numFmtId="0" fontId="17" fillId="0" borderId="15" xfId="3" applyFont="1" applyBorder="1" applyAlignment="1">
      <alignment horizontal="center" vertical="center"/>
    </xf>
    <xf numFmtId="0" fontId="14" fillId="0" borderId="14" xfId="3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0" fontId="27" fillId="0" borderId="21" xfId="3" applyFont="1" applyBorder="1" applyAlignment="1">
      <alignment horizontal="center" vertical="center"/>
    </xf>
    <xf numFmtId="185" fontId="27" fillId="0" borderId="17" xfId="3" applyNumberFormat="1" applyFont="1" applyBorder="1" applyAlignment="1">
      <alignment horizontal="center" vertical="center"/>
    </xf>
    <xf numFmtId="0" fontId="27" fillId="0" borderId="18" xfId="3" applyFont="1" applyBorder="1" applyAlignment="1">
      <alignment horizontal="center" vertical="center"/>
    </xf>
    <xf numFmtId="0" fontId="27" fillId="0" borderId="16" xfId="3" applyFont="1" applyBorder="1">
      <alignment vertical="center"/>
    </xf>
    <xf numFmtId="0" fontId="27" fillId="0" borderId="16" xfId="3" applyFont="1" applyBorder="1" applyAlignment="1">
      <alignment horizontal="center" vertical="center"/>
    </xf>
    <xf numFmtId="0" fontId="28" fillId="0" borderId="16" xfId="3" applyFont="1" applyBorder="1" applyAlignment="1">
      <alignment horizontal="center" vertical="center"/>
    </xf>
    <xf numFmtId="0" fontId="28" fillId="0" borderId="23" xfId="3" applyFont="1" applyBorder="1" applyAlignment="1">
      <alignment horizontal="center" vertical="center"/>
    </xf>
  </cellXfs>
  <cellStyles count="1032">
    <cellStyle name="一般" xfId="0" builtinId="0"/>
    <cellStyle name="一般 2" xfId="1" xr:uid="{00000000-0005-0000-0000-000001000000}"/>
    <cellStyle name="一般 2 2" xfId="3" xr:uid="{35DE4B0F-0F6F-4182-953A-EF0B7DC7C2AD}"/>
    <cellStyle name="一般 2 2 2" xfId="18" xr:uid="{3273A590-B128-4542-BFD2-882E85967757}"/>
    <cellStyle name="一般 2 2 2 2" xfId="135" xr:uid="{BB23022C-4328-479A-8735-0D6215E3D62A}"/>
    <cellStyle name="一般 3" xfId="2" xr:uid="{7D44C606-0D42-479F-ADEC-AA256677F6DD}"/>
    <cellStyle name="一般 3 2" xfId="4" xr:uid="{2F75254A-C1B6-407A-ACE7-E84C493A137E}"/>
    <cellStyle name="一般 4" xfId="9" xr:uid="{5D280880-B460-4612-9C68-430FD80A3B73}"/>
    <cellStyle name="千分位 2" xfId="5" xr:uid="{5FDB2E97-5F47-4B0F-9217-497B46036DC8}"/>
    <cellStyle name="千分位 2 10" xfId="148" xr:uid="{0AD8B367-DF82-451A-9ED2-25026F2DE7D9}"/>
    <cellStyle name="千分位 2 10 2" xfId="492" xr:uid="{5A2C8C36-0ED3-41C5-95BE-5A91D4034CCF}"/>
    <cellStyle name="千分位 2 10 3" xfId="828" xr:uid="{718888C6-653C-4B1C-B795-EB2CA876CE46}"/>
    <cellStyle name="千分位 2 11" xfId="204" xr:uid="{B2757D19-2CD6-4CD0-86D4-5500E30BA9BE}"/>
    <cellStyle name="千分位 2 11 2" xfId="548" xr:uid="{23237C2C-3AF5-447A-B9D0-ADDC08C49979}"/>
    <cellStyle name="千分位 2 11 3" xfId="884" xr:uid="{849E3DB2-81F6-468B-A315-D85E96EADCDA}"/>
    <cellStyle name="千分位 2 12" xfId="344" xr:uid="{34888C8C-51AA-49B5-B0D3-64F2C5B2A598}"/>
    <cellStyle name="千分位 2 12 2" xfId="1024" xr:uid="{42763CF5-8D7B-46C0-BAA4-4AE8F3FB96E4}"/>
    <cellStyle name="千分位 2 13" xfId="352" xr:uid="{1E267FF4-0F10-40DD-AF5A-9FE940C8B53D}"/>
    <cellStyle name="千分位 2 14" xfId="688" xr:uid="{6F1628B2-1318-4C11-A79E-0497CCDE068A}"/>
    <cellStyle name="千分位 2 2" xfId="7" xr:uid="{401FB8C7-D847-4DA7-9264-781E4053DB24}"/>
    <cellStyle name="千分位 2 2 10" xfId="206" xr:uid="{2AD3C526-FABD-474A-A81C-A4498CCF31BE}"/>
    <cellStyle name="千分位 2 2 10 2" xfId="550" xr:uid="{B9BC9953-5C1E-4375-A686-659B198C4C5D}"/>
    <cellStyle name="千分位 2 2 10 3" xfId="886" xr:uid="{E2CFB06C-EC23-4A6D-B4F6-1F49D7AF7076}"/>
    <cellStyle name="千分位 2 2 11" xfId="346" xr:uid="{C8B78398-71FC-494A-9B8B-099EDF2ABCEE}"/>
    <cellStyle name="千分位 2 2 11 2" xfId="1026" xr:uid="{1F84B45A-7AD3-42C3-95E8-E2C191598117}"/>
    <cellStyle name="千分位 2 2 12" xfId="354" xr:uid="{3BD7E467-C209-4245-B651-AC42322CE4AA}"/>
    <cellStyle name="千分位 2 2 13" xfId="690" xr:uid="{5E9E6903-A921-42F1-96C2-1CFAA8B87E3E}"/>
    <cellStyle name="千分位 2 2 2" xfId="16" xr:uid="{0D70A030-D76E-4DCD-80F8-326C20CB08D6}"/>
    <cellStyle name="千分位 2 2 2 10" xfId="350" xr:uid="{CFE27EEF-0FC7-4CF3-B2F0-DF10F4B08A23}"/>
    <cellStyle name="千分位 2 2 2 10 2" xfId="1030" xr:uid="{38B19F9C-8E91-4A0D-B5B1-9C5D64DA27E5}"/>
    <cellStyle name="千分位 2 2 2 11" xfId="362" xr:uid="{938F4D29-91AC-4A9E-A4CF-FAB622534E82}"/>
    <cellStyle name="千分位 2 2 2 12" xfId="698" xr:uid="{4DC311C3-35F2-44C4-A924-3958ABEE2FEF}"/>
    <cellStyle name="千分位 2 2 2 2" xfId="21" xr:uid="{6ECB2E29-DEA6-41F4-96C6-1B61AC4E3D00}"/>
    <cellStyle name="千分位 2 2 2 2 2" xfId="37" xr:uid="{9ADD9FE6-B79B-47CC-8439-4EFE8562B7FD}"/>
    <cellStyle name="千分位 2 2 2 2 2 2" xfId="101" xr:uid="{28A046EB-0A5B-436D-A573-BC437ECB9B0B}"/>
    <cellStyle name="千分位 2 2 2 2 2 2 2" xfId="298" xr:uid="{BF40DF97-3640-47EC-96F8-48F642713B35}"/>
    <cellStyle name="千分位 2 2 2 2 2 2 2 2" xfId="642" xr:uid="{88ADEFB6-13AA-48C9-A8E6-49A4283EB6CE}"/>
    <cellStyle name="千分位 2 2 2 2 2 2 2 3" xfId="978" xr:uid="{E64479D5-3382-41C9-90E5-78AA00489039}"/>
    <cellStyle name="千分位 2 2 2 2 2 2 3" xfId="446" xr:uid="{DE5B266C-7A03-47C5-9284-94874C978AFA}"/>
    <cellStyle name="千分位 2 2 2 2 2 2 4" xfId="782" xr:uid="{3B91E5A3-FCE5-4442-BE97-63C41F079492}"/>
    <cellStyle name="千分位 2 2 2 2 2 3" xfId="202" xr:uid="{C230A5A2-121C-4B9E-B323-47222B6E6972}"/>
    <cellStyle name="千分位 2 2 2 2 2 3 2" xfId="546" xr:uid="{B96A685F-DD90-49CF-86FA-2DDFA19CDCA1}"/>
    <cellStyle name="千分位 2 2 2 2 2 3 3" xfId="882" xr:uid="{07F05A83-73BB-4129-BCA2-CE4E6521F9B2}"/>
    <cellStyle name="千分位 2 2 2 2 2 4" xfId="234" xr:uid="{7560B27A-3A07-4F81-9171-ADFFD3C017DB}"/>
    <cellStyle name="千分位 2 2 2 2 2 4 2" xfId="578" xr:uid="{92ECD0AE-9ECD-4DC0-854D-AB9AAE2940ED}"/>
    <cellStyle name="千分位 2 2 2 2 2 4 3" xfId="914" xr:uid="{EC487B6F-C41A-4546-948E-DAF0FF63C44B}"/>
    <cellStyle name="千分位 2 2 2 2 2 5" xfId="382" xr:uid="{0BA1A13A-83F5-4135-8F7D-6547E8796733}"/>
    <cellStyle name="千分位 2 2 2 2 2 6" xfId="718" xr:uid="{F1537D5B-2EEC-46D8-A089-762C2A54619F}"/>
    <cellStyle name="千分位 2 2 2 2 3" xfId="53" xr:uid="{99ADB19C-4FC0-4F88-8FC2-3CD0F321B46A}"/>
    <cellStyle name="千分位 2 2 2 2 3 2" xfId="117" xr:uid="{782DBD3D-E45E-49BF-9F01-DDED052D0C5E}"/>
    <cellStyle name="千分位 2 2 2 2 3 2 2" xfId="314" xr:uid="{0CF64F09-3C74-4CCF-8EF4-8C95E5D1AC68}"/>
    <cellStyle name="千分位 2 2 2 2 3 2 2 2" xfId="658" xr:uid="{BFD0637D-C0B9-4A93-81AF-C6F72777F6EF}"/>
    <cellStyle name="千分位 2 2 2 2 3 2 2 3" xfId="994" xr:uid="{E5BE47D4-0D85-46CC-9AC2-73EE9DFE66E4}"/>
    <cellStyle name="千分位 2 2 2 2 3 2 3" xfId="462" xr:uid="{A326AF56-D8F9-4F23-926D-C8A6F7773A88}"/>
    <cellStyle name="千分位 2 2 2 2 3 2 4" xfId="798" xr:uid="{EA670D39-B911-43D5-9F19-6F2354974A14}"/>
    <cellStyle name="千分位 2 2 2 2 3 3" xfId="186" xr:uid="{2753661D-5481-424D-ACB2-131298B1FCA8}"/>
    <cellStyle name="千分位 2 2 2 2 3 3 2" xfId="530" xr:uid="{65DF6BDD-D3E4-4284-ABD9-5A03173561F6}"/>
    <cellStyle name="千分位 2 2 2 2 3 3 3" xfId="866" xr:uid="{AD975037-BC75-4CC3-B34A-753D402EE2E3}"/>
    <cellStyle name="千分位 2 2 2 2 3 4" xfId="250" xr:uid="{2C41B0F8-0EE7-4172-AAFB-DA4581C56755}"/>
    <cellStyle name="千分位 2 2 2 2 3 4 2" xfId="594" xr:uid="{ABBA68D1-AD31-4220-ACC8-FD23EA577F9C}"/>
    <cellStyle name="千分位 2 2 2 2 3 4 3" xfId="930" xr:uid="{94628BDD-D76E-4AB0-8D4E-515DCFD5E503}"/>
    <cellStyle name="千分位 2 2 2 2 3 5" xfId="398" xr:uid="{2776EEDB-4860-4BDC-B584-A8295277EF68}"/>
    <cellStyle name="千分位 2 2 2 2 3 6" xfId="734" xr:uid="{E63DC339-D23E-414D-861F-BE4EED36AEAD}"/>
    <cellStyle name="千分位 2 2 2 2 4" xfId="85" xr:uid="{7BFEE53E-421E-4CD7-AB0C-537377B0DF26}"/>
    <cellStyle name="千分位 2 2 2 2 4 2" xfId="282" xr:uid="{48A79947-6227-422E-9DB1-6A9B119B7008}"/>
    <cellStyle name="千分位 2 2 2 2 4 2 2" xfId="626" xr:uid="{28D423AB-BFC5-4646-B1C3-5A7EF61090D6}"/>
    <cellStyle name="千分位 2 2 2 2 4 2 3" xfId="962" xr:uid="{5F54A25C-B9E7-4A3A-9254-B6CE6F4716A2}"/>
    <cellStyle name="千分位 2 2 2 2 4 3" xfId="430" xr:uid="{00A786B2-3C8A-44CE-8374-24F4EC78BD75}"/>
    <cellStyle name="千分位 2 2 2 2 4 4" xfId="766" xr:uid="{0F6E3D54-3322-4644-859A-144978C72A63}"/>
    <cellStyle name="千分位 2 2 2 2 5" xfId="170" xr:uid="{8B1FE2A8-C799-43EE-8C41-80ED268592EB}"/>
    <cellStyle name="千分位 2 2 2 2 5 2" xfId="514" xr:uid="{527A79F4-FFF4-465C-9824-C87F61A35140}"/>
    <cellStyle name="千分位 2 2 2 2 5 3" xfId="850" xr:uid="{39B0A499-7AF7-4874-A123-51679A0B0DAC}"/>
    <cellStyle name="千分位 2 2 2 2 6" xfId="218" xr:uid="{F40F9CBF-CC72-426F-A65A-404118397E75}"/>
    <cellStyle name="千分位 2 2 2 2 6 2" xfId="562" xr:uid="{E9AF215D-1814-4494-9E65-41865E068FC6}"/>
    <cellStyle name="千分位 2 2 2 2 6 3" xfId="898" xr:uid="{BBB4C8BF-2C36-4286-A23F-C4EF2A2A70C3}"/>
    <cellStyle name="千分位 2 2 2 2 7" xfId="366" xr:uid="{41AEDA58-12B2-43A6-90FD-A6A1203DE5B3}"/>
    <cellStyle name="千分位 2 2 2 2 8" xfId="702" xr:uid="{C6D67DE0-C70B-48C2-98F0-9A5D7723DBE4}"/>
    <cellStyle name="千分位 2 2 2 3" xfId="29" xr:uid="{FF8A867B-446E-4BF9-9F2B-B69D5694478F}"/>
    <cellStyle name="千分位 2 2 2 3 2" xfId="61" xr:uid="{8586B574-FFB1-4514-A6EB-EC14C58D1D97}"/>
    <cellStyle name="千分位 2 2 2 3 2 2" xfId="125" xr:uid="{21C89F9A-CC94-40B5-9E16-273C5A11B057}"/>
    <cellStyle name="千分位 2 2 2 3 2 2 2" xfId="322" xr:uid="{AFA06F8E-C3D8-457D-A9C6-3BF355532A5A}"/>
    <cellStyle name="千分位 2 2 2 3 2 2 2 2" xfId="666" xr:uid="{87F7F2F4-57CB-4F00-B065-A7969AC7693D}"/>
    <cellStyle name="千分位 2 2 2 3 2 2 2 3" xfId="1002" xr:uid="{BA38365A-CF25-4C62-98EA-FB16E8E58D52}"/>
    <cellStyle name="千分位 2 2 2 3 2 2 3" xfId="470" xr:uid="{023350A2-F48D-432B-B031-5842009CE528}"/>
    <cellStyle name="千分位 2 2 2 3 2 2 4" xfId="806" xr:uid="{D89B577E-FEC8-434F-9077-C52362F602A9}"/>
    <cellStyle name="千分位 2 2 2 3 2 3" xfId="194" xr:uid="{DEE0AF55-8C43-4441-90E5-A32AE4C941B6}"/>
    <cellStyle name="千分位 2 2 2 3 2 3 2" xfId="538" xr:uid="{AB7D0AC7-312D-442F-9A44-25CA245CB502}"/>
    <cellStyle name="千分位 2 2 2 3 2 3 3" xfId="874" xr:uid="{D64E46F9-2DC6-4526-ADB6-EE3078E63CB2}"/>
    <cellStyle name="千分位 2 2 2 3 2 4" xfId="258" xr:uid="{A5293EE5-1F6A-4B7B-BE70-6944CD887022}"/>
    <cellStyle name="千分位 2 2 2 3 2 4 2" xfId="602" xr:uid="{6B05CEA1-7D22-4DB2-9292-D0A71B8CE61E}"/>
    <cellStyle name="千分位 2 2 2 3 2 4 3" xfId="938" xr:uid="{5E2BC0D4-D473-4BF0-92BD-B193D6F19F17}"/>
    <cellStyle name="千分位 2 2 2 3 2 5" xfId="406" xr:uid="{1D4419CA-CBFC-4C7B-8D35-FD038FDC3BA3}"/>
    <cellStyle name="千分位 2 2 2 3 2 6" xfId="742" xr:uid="{4B03FA0B-E264-41EB-ADC6-463B1BB4F646}"/>
    <cellStyle name="千分位 2 2 2 3 3" xfId="93" xr:uid="{5FC5B507-5F42-49F8-A189-EF8930EDB867}"/>
    <cellStyle name="千分位 2 2 2 3 3 2" xfId="290" xr:uid="{F12C8989-07BE-4BE3-8239-079EEA712EFB}"/>
    <cellStyle name="千分位 2 2 2 3 3 2 2" xfId="634" xr:uid="{A1D30662-C8EE-4255-A880-5CF9DC5BD0FF}"/>
    <cellStyle name="千分位 2 2 2 3 3 2 3" xfId="970" xr:uid="{1CCC2E56-1BFE-4EDE-BFF1-9EFC2A9E3AC3}"/>
    <cellStyle name="千分位 2 2 2 3 3 3" xfId="438" xr:uid="{3F35D05E-C98F-42DB-AF30-11545758C493}"/>
    <cellStyle name="千分位 2 2 2 3 3 4" xfId="774" xr:uid="{41C9CC52-BE48-440A-B59B-C61D9BCB46CC}"/>
    <cellStyle name="千分位 2 2 2 3 4" xfId="162" xr:uid="{5C16EC8C-35E6-465D-B693-42BF2AF260A9}"/>
    <cellStyle name="千分位 2 2 2 3 4 2" xfId="506" xr:uid="{55450748-E5C4-4556-B452-F3404642E627}"/>
    <cellStyle name="千分位 2 2 2 3 4 3" xfId="842" xr:uid="{D5126E2E-7F30-4132-BC2E-5EB683BCF576}"/>
    <cellStyle name="千分位 2 2 2 3 5" xfId="226" xr:uid="{293A0D49-7CAB-4E5C-8D1C-51BE162F0E05}"/>
    <cellStyle name="千分位 2 2 2 3 5 2" xfId="570" xr:uid="{6ECC5D8F-836A-45DD-8A48-10F9E7FE5356}"/>
    <cellStyle name="千分位 2 2 2 3 5 3" xfId="906" xr:uid="{E9AB5797-BDCE-4EB3-84DB-5FDFEBEE250F}"/>
    <cellStyle name="千分位 2 2 2 3 6" xfId="374" xr:uid="{A79D7E26-1451-43A2-857B-E394E4CFD659}"/>
    <cellStyle name="千分位 2 2 2 3 7" xfId="710" xr:uid="{C351ED47-B134-4D20-86FF-5D0D5B4A55AB}"/>
    <cellStyle name="千分位 2 2 2 4" xfId="45" xr:uid="{2FF3D51B-4627-45B4-9744-52EC79D42306}"/>
    <cellStyle name="千分位 2 2 2 4 2" xfId="109" xr:uid="{89B61311-6D4A-416F-9A59-0CA8CB1AC38C}"/>
    <cellStyle name="千分位 2 2 2 4 2 2" xfId="306" xr:uid="{EB9535DD-A827-43B3-BB40-443D4C0A75B8}"/>
    <cellStyle name="千分位 2 2 2 4 2 2 2" xfId="650" xr:uid="{1142ABD3-DDDF-48AF-B315-E865C6725147}"/>
    <cellStyle name="千分位 2 2 2 4 2 2 3" xfId="986" xr:uid="{98A1C268-FBBC-4654-BE88-35809FE62A30}"/>
    <cellStyle name="千分位 2 2 2 4 2 3" xfId="454" xr:uid="{D0AEA982-4BD5-43B1-BC3E-D0F70EBBD22A}"/>
    <cellStyle name="千分位 2 2 2 4 2 4" xfId="790" xr:uid="{87BE038C-0098-4E6A-87DE-570D38DBA8F5}"/>
    <cellStyle name="千分位 2 2 2 4 3" xfId="178" xr:uid="{BD9712FA-76B1-44B5-96BF-1492C93830F1}"/>
    <cellStyle name="千分位 2 2 2 4 3 2" xfId="522" xr:uid="{F3F29EEB-6F8B-43AC-B4B9-FAC40C0ECB59}"/>
    <cellStyle name="千分位 2 2 2 4 3 3" xfId="858" xr:uid="{A780684F-480A-46DC-976A-EE1CA509B12F}"/>
    <cellStyle name="千分位 2 2 2 4 4" xfId="242" xr:uid="{3EE1833D-AC6A-4FC6-BFC0-8654460D7B31}"/>
    <cellStyle name="千分位 2 2 2 4 4 2" xfId="586" xr:uid="{5954673C-7F11-44EC-8E42-403EFE2127D4}"/>
    <cellStyle name="千分位 2 2 2 4 4 3" xfId="922" xr:uid="{5DF55F2D-4D3A-404B-9F54-1B322A12856D}"/>
    <cellStyle name="千分位 2 2 2 4 5" xfId="390" xr:uid="{6A6DE3E8-7793-4DAB-8FE3-7DF84B75DB10}"/>
    <cellStyle name="千分位 2 2 2 4 6" xfId="726" xr:uid="{3DDF5FFC-1A5B-46FC-966C-4572D041546C}"/>
    <cellStyle name="千分位 2 2 2 5" xfId="69" xr:uid="{72A4FDDB-0BC3-4D75-9EC8-59D4485A48A5}"/>
    <cellStyle name="千分位 2 2 2 5 2" xfId="133" xr:uid="{A74F28E5-8FB3-4827-952E-10B026E91096}"/>
    <cellStyle name="千分位 2 2 2 5 2 2" xfId="330" xr:uid="{8B52E969-F3A9-4B9F-A54A-08F71BFB0A9C}"/>
    <cellStyle name="千分位 2 2 2 5 2 2 2" xfId="674" xr:uid="{8BB6D6BA-C6C1-4BE2-90EF-EFB7AE357639}"/>
    <cellStyle name="千分位 2 2 2 5 2 2 3" xfId="1010" xr:uid="{FEC9C60F-A505-441B-88C5-89311F636948}"/>
    <cellStyle name="千分位 2 2 2 5 2 3" xfId="478" xr:uid="{9F93E754-7EF0-4194-AE9B-BBCC9A534B9B}"/>
    <cellStyle name="千分位 2 2 2 5 2 4" xfId="814" xr:uid="{E1CF8AED-BA66-48A1-B4FE-A07A9AD5012D}"/>
    <cellStyle name="千分位 2 2 2 5 3" xfId="266" xr:uid="{5D8255BE-F42D-4229-BA11-6B1629CFFD9E}"/>
    <cellStyle name="千分位 2 2 2 5 3 2" xfId="610" xr:uid="{F715D03F-3AEE-412C-8134-73FAEDE802E0}"/>
    <cellStyle name="千分位 2 2 2 5 3 3" xfId="946" xr:uid="{842093B3-A6EA-4FB6-B772-A8815A4A04F7}"/>
    <cellStyle name="千分位 2 2 2 5 4" xfId="414" xr:uid="{B59B939B-821A-4B6C-8654-118044CBDD90}"/>
    <cellStyle name="千分位 2 2 2 5 5" xfId="750" xr:uid="{C970BA00-7B42-4E99-9782-CE08AC7EA98A}"/>
    <cellStyle name="千分位 2 2 2 6" xfId="146" xr:uid="{67B97985-EA11-42CE-AD11-7939AA56317A}"/>
    <cellStyle name="千分位 2 2 2 6 2" xfId="342" xr:uid="{1B00F9D8-33AB-40E4-B3E0-3E4C9D45EDA6}"/>
    <cellStyle name="千分位 2 2 2 6 2 2" xfId="686" xr:uid="{B3A28A33-2C2B-4E62-AD81-1D893A02DB5D}"/>
    <cellStyle name="千分位 2 2 2 6 2 3" xfId="1022" xr:uid="{CEA7DDA6-C8A5-4D0E-92B4-ED5A4F81F3BC}"/>
    <cellStyle name="千分位 2 2 2 6 3" xfId="490" xr:uid="{857FC4F6-085A-49E1-9FCD-8CFCF5499BBE}"/>
    <cellStyle name="千分位 2 2 2 6 4" xfId="826" xr:uid="{CE6FA6CD-7CC0-4F24-AF68-FB53BEEE1525}"/>
    <cellStyle name="千分位 2 2 2 7" xfId="81" xr:uid="{CD3520A9-FBE7-49C2-AFBF-17FDC32B5A21}"/>
    <cellStyle name="千分位 2 2 2 7 2" xfId="278" xr:uid="{840A95CB-E23D-42EE-AD0A-7E61205A74CC}"/>
    <cellStyle name="千分位 2 2 2 7 2 2" xfId="622" xr:uid="{CEA22B06-B7B2-42B6-A952-21B2F7EDBC15}"/>
    <cellStyle name="千分位 2 2 2 7 2 3" xfId="958" xr:uid="{1F6F6821-803A-4658-AB9D-E3A5510F07E8}"/>
    <cellStyle name="千分位 2 2 2 7 3" xfId="426" xr:uid="{D39F78A3-891B-4A97-8D63-29F9D0423FEC}"/>
    <cellStyle name="千分位 2 2 2 7 4" xfId="762" xr:uid="{8B7055FB-DD18-4045-A102-B418302199F8}"/>
    <cellStyle name="千分位 2 2 2 8" xfId="154" xr:uid="{BDB8A5A6-7A5F-455B-88A2-2A51B3ECF15C}"/>
    <cellStyle name="千分位 2 2 2 8 2" xfId="498" xr:uid="{CB973D5F-2DCB-4B52-9259-B88A6C7BB72A}"/>
    <cellStyle name="千分位 2 2 2 8 3" xfId="834" xr:uid="{E3176008-A15A-4B6A-BA36-91E66449ACEF}"/>
    <cellStyle name="千分位 2 2 2 9" xfId="214" xr:uid="{9DBAE9A5-D14D-4F77-9892-2954EFD2A320}"/>
    <cellStyle name="千分位 2 2 2 9 2" xfId="558" xr:uid="{58D78511-8D53-4C17-A840-AE1F08AC1136}"/>
    <cellStyle name="千分位 2 2 2 9 3" xfId="894" xr:uid="{4C3BDB1E-88DF-4736-8FB2-208552CE3E9E}"/>
    <cellStyle name="千分位 2 2 3" xfId="12" xr:uid="{EA68FDEB-0DEE-45C5-A0F9-764369CD90C3}"/>
    <cellStyle name="千分位 2 2 3 2" xfId="33" xr:uid="{51547FC9-9EE0-44D2-9459-4E907B01F078}"/>
    <cellStyle name="千分位 2 2 3 2 2" xfId="97" xr:uid="{641A28C4-5170-4852-AE08-ABA5EB3F8AFF}"/>
    <cellStyle name="千分位 2 2 3 2 2 2" xfId="294" xr:uid="{BB143C65-3A52-4ADA-874B-503B26D47508}"/>
    <cellStyle name="千分位 2 2 3 2 2 2 2" xfId="638" xr:uid="{FC4CF1BD-8642-4266-B457-9C43AE228092}"/>
    <cellStyle name="千分位 2 2 3 2 2 2 3" xfId="974" xr:uid="{7DCA4FD6-C2D7-40DA-863C-FC126C19817C}"/>
    <cellStyle name="千分位 2 2 3 2 2 3" xfId="442" xr:uid="{1155EF8C-1B89-41F5-81D4-D52AD2756B76}"/>
    <cellStyle name="千分位 2 2 3 2 2 4" xfId="778" xr:uid="{3A630F78-300D-476B-86A7-D93611299B35}"/>
    <cellStyle name="千分位 2 2 3 2 3" xfId="198" xr:uid="{EEA162C3-8EA2-44B5-8550-61E447616F2C}"/>
    <cellStyle name="千分位 2 2 3 2 3 2" xfId="542" xr:uid="{24FF9F46-9752-43EF-8109-DF1974304F31}"/>
    <cellStyle name="千分位 2 2 3 2 3 3" xfId="878" xr:uid="{71654813-58E0-4CC2-B43D-0C044684C0E1}"/>
    <cellStyle name="千分位 2 2 3 2 4" xfId="230" xr:uid="{104CD4F2-9E8C-4C72-8420-709F29D93ED8}"/>
    <cellStyle name="千分位 2 2 3 2 4 2" xfId="574" xr:uid="{73B7E39F-101B-419F-BF85-6869801C0E44}"/>
    <cellStyle name="千分位 2 2 3 2 4 3" xfId="910" xr:uid="{7446D4D0-8E78-4124-BC88-F3B10DBDC8A1}"/>
    <cellStyle name="千分位 2 2 3 2 5" xfId="378" xr:uid="{026FFCB1-E712-4D7F-BFEE-B8825E1A710B}"/>
    <cellStyle name="千分位 2 2 3 2 6" xfId="714" xr:uid="{EA18487B-49EC-4123-93C9-783CFA96D4E1}"/>
    <cellStyle name="千分位 2 2 3 3" xfId="49" xr:uid="{38B2DFC7-3F4E-4295-B695-D7CAB6103AC5}"/>
    <cellStyle name="千分位 2 2 3 3 2" xfId="113" xr:uid="{61F30B86-51BE-4693-8A99-DFA40A84B17E}"/>
    <cellStyle name="千分位 2 2 3 3 2 2" xfId="310" xr:uid="{0830958C-4955-4AC9-B749-F2C225567BCD}"/>
    <cellStyle name="千分位 2 2 3 3 2 2 2" xfId="654" xr:uid="{DBDF8A71-6273-4DAA-BF24-21C5005BED04}"/>
    <cellStyle name="千分位 2 2 3 3 2 2 3" xfId="990" xr:uid="{6BECA91D-229C-477C-B589-6B9CC321CCDC}"/>
    <cellStyle name="千分位 2 2 3 3 2 3" xfId="458" xr:uid="{985FB7BF-8C5C-460D-A80C-ADCE124B6A57}"/>
    <cellStyle name="千分位 2 2 3 3 2 4" xfId="794" xr:uid="{9C68FA7E-2A85-4AD2-8742-16F586351AC7}"/>
    <cellStyle name="千分位 2 2 3 3 3" xfId="182" xr:uid="{12E3BB4C-BC3C-491B-9A36-A1E4429C951F}"/>
    <cellStyle name="千分位 2 2 3 3 3 2" xfId="526" xr:uid="{8E609002-D249-4047-BE2D-27C5E3D9E8C8}"/>
    <cellStyle name="千分位 2 2 3 3 3 3" xfId="862" xr:uid="{26BBCB04-1AA0-4130-BC0C-2606AAFF2FE3}"/>
    <cellStyle name="千分位 2 2 3 3 4" xfId="246" xr:uid="{C2690D61-AFDC-4CCA-AB84-87230DCC7B7A}"/>
    <cellStyle name="千分位 2 2 3 3 4 2" xfId="590" xr:uid="{5E1C7A63-0D15-45F8-B4FB-CB3ECB0951FB}"/>
    <cellStyle name="千分位 2 2 3 3 4 3" xfId="926" xr:uid="{B9F80689-E531-445E-9A4E-0F107D94C447}"/>
    <cellStyle name="千分位 2 2 3 3 5" xfId="394" xr:uid="{61F6D0DE-9012-420F-B78E-623FAC6372A9}"/>
    <cellStyle name="千分位 2 2 3 3 6" xfId="730" xr:uid="{74BEE0AB-101E-4BE5-AE43-D1C3A64EA8EE}"/>
    <cellStyle name="千分位 2 2 3 4" xfId="142" xr:uid="{E7B4A877-89C0-40C3-B62D-213670685D0B}"/>
    <cellStyle name="千分位 2 2 3 4 2" xfId="338" xr:uid="{C4BC37B7-7104-454B-A4C7-93BEF66DEE3B}"/>
    <cellStyle name="千分位 2 2 3 4 2 2" xfId="682" xr:uid="{87C815BD-EB8E-4807-AF17-B6BD7BB63E21}"/>
    <cellStyle name="千分位 2 2 3 4 2 3" xfId="1018" xr:uid="{81213D3D-BB57-491F-A39F-6A733F46F374}"/>
    <cellStyle name="千分位 2 2 3 4 3" xfId="486" xr:uid="{779015B9-D6D7-4690-A5D0-1AB4F83ADDED}"/>
    <cellStyle name="千分位 2 2 3 4 4" xfId="822" xr:uid="{71D3970C-5473-4D3A-AC72-DD2DC6104A94}"/>
    <cellStyle name="千分位 2 2 3 5" xfId="77" xr:uid="{6EC71A21-B309-400F-968E-03CFDEEAE300}"/>
    <cellStyle name="千分位 2 2 3 5 2" xfId="274" xr:uid="{DACF33C9-52C7-4EC5-8D04-6CE729698248}"/>
    <cellStyle name="千分位 2 2 3 5 2 2" xfId="618" xr:uid="{93C0C2C0-24AE-4BCE-AACE-B2BB6A048F13}"/>
    <cellStyle name="千分位 2 2 3 5 2 3" xfId="954" xr:uid="{1390FEF7-C8CD-4B18-9B88-C4B4BB9866CD}"/>
    <cellStyle name="千分位 2 2 3 5 3" xfId="422" xr:uid="{0A856FC1-3F34-43EB-BA07-E97AF49A9F36}"/>
    <cellStyle name="千分位 2 2 3 5 4" xfId="758" xr:uid="{8CE434E9-297C-432D-BFFD-FF2C55D4F273}"/>
    <cellStyle name="千分位 2 2 3 6" xfId="166" xr:uid="{63CB1CE0-FA47-4398-8DEF-04B5F51964BA}"/>
    <cellStyle name="千分位 2 2 3 6 2" xfId="510" xr:uid="{596F80BD-1C2E-4123-A017-C6A07705E0C7}"/>
    <cellStyle name="千分位 2 2 3 6 3" xfId="846" xr:uid="{E17A53AE-775A-4DD9-BD01-2A56EF9046D5}"/>
    <cellStyle name="千分位 2 2 3 7" xfId="210" xr:uid="{CDBF57E9-4730-4BE5-A5CF-2D31DDCD2DA8}"/>
    <cellStyle name="千分位 2 2 3 7 2" xfId="554" xr:uid="{38972CE1-E227-4CD2-B449-13E63B2B620F}"/>
    <cellStyle name="千分位 2 2 3 7 3" xfId="890" xr:uid="{6A543C9F-F132-414C-B5B3-0F6F4EE92CB2}"/>
    <cellStyle name="千分位 2 2 3 8" xfId="358" xr:uid="{192E8438-01DF-44DD-AFC4-79538384A517}"/>
    <cellStyle name="千分位 2 2 3 9" xfId="694" xr:uid="{2462CE72-E576-40DA-8487-C4F0044A3CD0}"/>
    <cellStyle name="千分位 2 2 4" xfId="25" xr:uid="{76750BC3-F3AF-4067-B64A-440A90280ED2}"/>
    <cellStyle name="千分位 2 2 4 2" xfId="57" xr:uid="{4380BBFA-3644-4BAA-98CE-C2C96D7866D6}"/>
    <cellStyle name="千分位 2 2 4 2 2" xfId="121" xr:uid="{4124D8C3-73B2-4807-828C-D32EACB3EA38}"/>
    <cellStyle name="千分位 2 2 4 2 2 2" xfId="318" xr:uid="{F1217130-F60C-47C2-8036-236F91FD9AE5}"/>
    <cellStyle name="千分位 2 2 4 2 2 2 2" xfId="662" xr:uid="{C9A774E7-6F46-4BB3-B2C0-CAA4DEC69078}"/>
    <cellStyle name="千分位 2 2 4 2 2 2 3" xfId="998" xr:uid="{3D846EC3-6FA0-4CB2-AF86-2EE6CA1F449A}"/>
    <cellStyle name="千分位 2 2 4 2 2 3" xfId="466" xr:uid="{6671B039-655E-455A-AB48-6D251B130F49}"/>
    <cellStyle name="千分位 2 2 4 2 2 4" xfId="802" xr:uid="{9BB42B53-3022-4A17-B4EF-332C8871B754}"/>
    <cellStyle name="千分位 2 2 4 2 3" xfId="190" xr:uid="{08227A94-66D6-4869-9F53-0045FA062E91}"/>
    <cellStyle name="千分位 2 2 4 2 3 2" xfId="534" xr:uid="{522E36AC-C4D9-4EAD-849F-4730DD46F3DD}"/>
    <cellStyle name="千分位 2 2 4 2 3 3" xfId="870" xr:uid="{313ECAD9-3EC5-4ED7-B0CE-052666A0F7F2}"/>
    <cellStyle name="千分位 2 2 4 2 4" xfId="254" xr:uid="{3DC1773A-1780-4F37-9EE5-3902151FE6B4}"/>
    <cellStyle name="千分位 2 2 4 2 4 2" xfId="598" xr:uid="{58995610-C8EF-4D58-AE0F-4E046598AD48}"/>
    <cellStyle name="千分位 2 2 4 2 4 3" xfId="934" xr:uid="{09A90B1B-84C4-461F-A029-EE7F21B9C20A}"/>
    <cellStyle name="千分位 2 2 4 2 5" xfId="402" xr:uid="{9017707A-0506-4BA5-A227-4C6396FE6E1D}"/>
    <cellStyle name="千分位 2 2 4 2 6" xfId="738" xr:uid="{43EE0927-187B-477D-97B8-80F042FBD306}"/>
    <cellStyle name="千分位 2 2 4 3" xfId="89" xr:uid="{11CC22F2-0D09-40DE-A721-19D3E59200E5}"/>
    <cellStyle name="千分位 2 2 4 3 2" xfId="286" xr:uid="{71A82DE0-56E8-4EA0-967B-F30E9636F9E3}"/>
    <cellStyle name="千分位 2 2 4 3 2 2" xfId="630" xr:uid="{3F6801AD-0563-41CF-A492-6B20E85E49EF}"/>
    <cellStyle name="千分位 2 2 4 3 2 3" xfId="966" xr:uid="{C0F6898E-3DB6-40AD-9AF6-6FBD15A735A7}"/>
    <cellStyle name="千分位 2 2 4 3 3" xfId="434" xr:uid="{B6B1C162-176B-4C74-BBCD-07E761B22D8B}"/>
    <cellStyle name="千分位 2 2 4 3 4" xfId="770" xr:uid="{6F69514A-F3F8-4356-80F9-507296053E5C}"/>
    <cellStyle name="千分位 2 2 4 4" xfId="158" xr:uid="{FED7808B-F871-46D9-8D59-F39EED6A02DA}"/>
    <cellStyle name="千分位 2 2 4 4 2" xfId="502" xr:uid="{5A95C0D4-C0C3-4529-AB32-9E3FFB62864A}"/>
    <cellStyle name="千分位 2 2 4 4 3" xfId="838" xr:uid="{02187AED-92CE-443D-8999-76F5FD415B09}"/>
    <cellStyle name="千分位 2 2 4 5" xfId="222" xr:uid="{D5B15B75-D1C3-4F64-ADE7-88F28DEDFE47}"/>
    <cellStyle name="千分位 2 2 4 5 2" xfId="566" xr:uid="{DDBAB8BB-D156-4B51-8368-78031DEE34F1}"/>
    <cellStyle name="千分位 2 2 4 5 3" xfId="902" xr:uid="{C9B233F6-1C10-4A81-BBE6-FF6ADE5475F4}"/>
    <cellStyle name="千分位 2 2 4 6" xfId="370" xr:uid="{17B4C98A-71F8-4AE1-8528-831C8F1E59E2}"/>
    <cellStyle name="千分位 2 2 4 7" xfId="706" xr:uid="{E754298A-4CF5-4119-A2B3-BDB184501582}"/>
    <cellStyle name="千分位 2 2 5" xfId="41" xr:uid="{3028DC72-AC83-4AAD-BEBE-6C5DC00AE50D}"/>
    <cellStyle name="千分位 2 2 5 2" xfId="105" xr:uid="{4E760B70-3522-4DF7-BF09-EE64885898AA}"/>
    <cellStyle name="千分位 2 2 5 2 2" xfId="302" xr:uid="{5646EEA5-C6A1-433C-A92A-EE298696978B}"/>
    <cellStyle name="千分位 2 2 5 2 2 2" xfId="646" xr:uid="{B58872A9-BDBD-42E6-8046-9DCC19DF34AA}"/>
    <cellStyle name="千分位 2 2 5 2 2 3" xfId="982" xr:uid="{205C44DA-34BE-47A4-9866-CF1EEE15BCC9}"/>
    <cellStyle name="千分位 2 2 5 2 3" xfId="450" xr:uid="{3472E5F4-CB4B-49CC-95FD-B2EF7DFA3D2F}"/>
    <cellStyle name="千分位 2 2 5 2 4" xfId="786" xr:uid="{E3A7E3C2-8932-46BC-8ABE-3411C02308F7}"/>
    <cellStyle name="千分位 2 2 5 3" xfId="174" xr:uid="{A4C3F03D-8EFE-44C8-B1CD-30A02D5AE977}"/>
    <cellStyle name="千分位 2 2 5 3 2" xfId="518" xr:uid="{0A833437-9635-494F-A40F-888625AD086A}"/>
    <cellStyle name="千分位 2 2 5 3 3" xfId="854" xr:uid="{5A00096E-5F42-4B48-927C-79938B9AE0EF}"/>
    <cellStyle name="千分位 2 2 5 4" xfId="238" xr:uid="{4AD1EA6E-D0F1-4E9A-B626-FAD84B9CAA3F}"/>
    <cellStyle name="千分位 2 2 5 4 2" xfId="582" xr:uid="{7EF1AB3A-56CF-4E2E-89DD-562F0EDC7D8F}"/>
    <cellStyle name="千分位 2 2 5 4 3" xfId="918" xr:uid="{33722231-9734-4499-ABCC-EB7DDAD7D805}"/>
    <cellStyle name="千分位 2 2 5 5" xfId="386" xr:uid="{926301B2-25F9-4402-9FE7-D8CF5D7D8BF3}"/>
    <cellStyle name="千分位 2 2 5 6" xfId="722" xr:uid="{E48B8954-6B42-46CB-BCDB-8CA0DCA74E5C}"/>
    <cellStyle name="千分位 2 2 6" xfId="65" xr:uid="{1F3E3E91-F3D4-41E0-BDB2-B02E70E4D0D2}"/>
    <cellStyle name="千分位 2 2 6 2" xfId="129" xr:uid="{A87890AC-5E31-45D6-BC63-435F78AA2449}"/>
    <cellStyle name="千分位 2 2 6 2 2" xfId="326" xr:uid="{9DB710B1-F900-495C-A732-75A622250B8A}"/>
    <cellStyle name="千分位 2 2 6 2 2 2" xfId="670" xr:uid="{5AF3055C-8F9F-4E60-A4DA-58A765982BF3}"/>
    <cellStyle name="千分位 2 2 6 2 2 3" xfId="1006" xr:uid="{650F855D-9964-46B3-98A2-B7A19E91017F}"/>
    <cellStyle name="千分位 2 2 6 2 3" xfId="474" xr:uid="{73352102-8336-40BA-B3D8-A72DBEE2CBBA}"/>
    <cellStyle name="千分位 2 2 6 2 4" xfId="810" xr:uid="{3BFFB8BD-6C6F-4118-9972-4781A4F3EB52}"/>
    <cellStyle name="千分位 2 2 6 3" xfId="262" xr:uid="{67933841-69A0-4802-A738-8E59AC04A86F}"/>
    <cellStyle name="千分位 2 2 6 3 2" xfId="606" xr:uid="{326DF86E-D356-469C-A8FF-DFF1AAD97D72}"/>
    <cellStyle name="千分位 2 2 6 3 3" xfId="942" xr:uid="{2BCB5CD4-2372-4227-A14C-5BCFBE8696F8}"/>
    <cellStyle name="千分位 2 2 6 4" xfId="410" xr:uid="{9B96137A-C339-4D4F-B95B-B39CB0DC4048}"/>
    <cellStyle name="千分位 2 2 6 5" xfId="746" xr:uid="{E17CF904-BFBD-4D04-AB43-015D23D4E019}"/>
    <cellStyle name="千分位 2 2 7" xfId="138" xr:uid="{11DB19A2-2B01-4833-9F77-4A18B6659241}"/>
    <cellStyle name="千分位 2 2 7 2" xfId="334" xr:uid="{85F63CEF-142F-4C82-B451-2A89980FE8F8}"/>
    <cellStyle name="千分位 2 2 7 2 2" xfId="678" xr:uid="{7798EE0C-FF23-436A-89B4-8F5DF6A98414}"/>
    <cellStyle name="千分位 2 2 7 2 3" xfId="1014" xr:uid="{FDCCA687-6B57-451D-9C62-8CB2EA5F97D4}"/>
    <cellStyle name="千分位 2 2 7 3" xfId="482" xr:uid="{DB755FF7-4269-4F0E-8EF8-476B3ABEAB06}"/>
    <cellStyle name="千分位 2 2 7 4" xfId="818" xr:uid="{429257B5-444B-4A29-BFA4-F39C4B1DECC7}"/>
    <cellStyle name="千分位 2 2 8" xfId="73" xr:uid="{993891A9-29D2-4F94-83FB-BC874514F836}"/>
    <cellStyle name="千分位 2 2 8 2" xfId="270" xr:uid="{4A467766-AADB-4393-9F06-5ED5A40E5B67}"/>
    <cellStyle name="千分位 2 2 8 2 2" xfId="614" xr:uid="{E27A08FF-A702-400D-B656-A4A9F4E9671F}"/>
    <cellStyle name="千分位 2 2 8 2 3" xfId="950" xr:uid="{819AF05C-62FB-4CE9-A4D2-5B24DBCEE878}"/>
    <cellStyle name="千分位 2 2 8 3" xfId="418" xr:uid="{FC56E76C-9050-4367-8206-DE70721A52B8}"/>
    <cellStyle name="千分位 2 2 8 4" xfId="754" xr:uid="{A6C55BD0-BF5C-4A4F-82E7-0C29346848B2}"/>
    <cellStyle name="千分位 2 2 9" xfId="150" xr:uid="{0A08B7BF-5283-4528-BF2E-B5A3D4F88710}"/>
    <cellStyle name="千分位 2 2 9 2" xfId="494" xr:uid="{3221B26D-4C56-4EB9-8D93-4CD80F4E7AB4}"/>
    <cellStyle name="千分位 2 2 9 3" xfId="830" xr:uid="{E71C675F-47D7-4F2B-98AC-7CA972EAACB3}"/>
    <cellStyle name="千分位 2 3" xfId="14" xr:uid="{522AEAC5-8B7D-4A3C-99FE-A0802F4E0249}"/>
    <cellStyle name="千分位 2 3 10" xfId="348" xr:uid="{B197C5AE-57E8-476C-B344-1E34A2F33FB3}"/>
    <cellStyle name="千分位 2 3 10 2" xfId="1028" xr:uid="{D600B6E9-78E5-4FD6-B9F9-D77C9CA0C466}"/>
    <cellStyle name="千分位 2 3 11" xfId="360" xr:uid="{E6835E23-57B6-4EF1-974C-BB88DD870BF3}"/>
    <cellStyle name="千分位 2 3 12" xfId="696" xr:uid="{8F2F708E-AF0A-4229-AFB6-C6F862AAC75D}"/>
    <cellStyle name="千分位 2 3 2" xfId="19" xr:uid="{F0498F78-3FD9-4D98-9832-F69EB54EF417}"/>
    <cellStyle name="千分位 2 3 2 2" xfId="35" xr:uid="{95C231C2-2811-4008-B0E4-7FFBBB16D560}"/>
    <cellStyle name="千分位 2 3 2 2 2" xfId="99" xr:uid="{3D04A03B-DCB5-4FA4-9F03-0BD6020EA40F}"/>
    <cellStyle name="千分位 2 3 2 2 2 2" xfId="296" xr:uid="{02660D42-F0A2-45D6-9878-3EDBD4918DF1}"/>
    <cellStyle name="千分位 2 3 2 2 2 2 2" xfId="640" xr:uid="{E94514BB-DFC6-4957-891F-9B11F7C38CCA}"/>
    <cellStyle name="千分位 2 3 2 2 2 2 3" xfId="976" xr:uid="{97D2ED46-050F-427F-91ED-506E858A5D2B}"/>
    <cellStyle name="千分位 2 3 2 2 2 3" xfId="444" xr:uid="{AD857DED-4D44-4D7A-B2B5-997FE7593E3A}"/>
    <cellStyle name="千分位 2 3 2 2 2 4" xfId="780" xr:uid="{054F9C83-8CD8-429B-98BF-31B8B19ACB1A}"/>
    <cellStyle name="千分位 2 3 2 2 3" xfId="200" xr:uid="{304F3582-9270-4CB5-9499-D6703AC73B74}"/>
    <cellStyle name="千分位 2 3 2 2 3 2" xfId="544" xr:uid="{10D30F13-4247-40B3-AA73-25A7301B6FF7}"/>
    <cellStyle name="千分位 2 3 2 2 3 3" xfId="880" xr:uid="{A4A4FF86-4D20-4089-983B-62310F11BF14}"/>
    <cellStyle name="千分位 2 3 2 2 4" xfId="232" xr:uid="{B5C6CA43-0642-45B9-85A1-EEAC8BEDBBF2}"/>
    <cellStyle name="千分位 2 3 2 2 4 2" xfId="576" xr:uid="{3F4605C4-30FE-413B-A274-DF63278F71CB}"/>
    <cellStyle name="千分位 2 3 2 2 4 3" xfId="912" xr:uid="{F7F2414A-DB7A-4808-A7B8-7F410C8A89C3}"/>
    <cellStyle name="千分位 2 3 2 2 5" xfId="380" xr:uid="{4E54E556-B8E2-4255-8F8D-FF15429C88D6}"/>
    <cellStyle name="千分位 2 3 2 2 6" xfId="716" xr:uid="{41DEDA90-3E62-4D35-B7E3-AF1A9239AD9A}"/>
    <cellStyle name="千分位 2 3 2 3" xfId="51" xr:uid="{8F718E03-5DF2-457C-8C66-5024EAF12AEF}"/>
    <cellStyle name="千分位 2 3 2 3 2" xfId="115" xr:uid="{615D364F-07C3-4824-907D-517D53457889}"/>
    <cellStyle name="千分位 2 3 2 3 2 2" xfId="312" xr:uid="{5D6E560A-2B1B-40E1-820C-4C823D611632}"/>
    <cellStyle name="千分位 2 3 2 3 2 2 2" xfId="656" xr:uid="{9DA3E3C3-51CF-44B1-A56C-351A5C7B0BB0}"/>
    <cellStyle name="千分位 2 3 2 3 2 2 3" xfId="992" xr:uid="{21855DD8-6C44-4352-8561-FF9981100CB4}"/>
    <cellStyle name="千分位 2 3 2 3 2 3" xfId="460" xr:uid="{B16B6FF6-E225-4A03-A794-98C7AF9EECD0}"/>
    <cellStyle name="千分位 2 3 2 3 2 4" xfId="796" xr:uid="{AB46B853-570F-422B-917D-C6C2A9A0FD0A}"/>
    <cellStyle name="千分位 2 3 2 3 3" xfId="184" xr:uid="{A2888E11-ED39-4693-B410-2FE33FE56390}"/>
    <cellStyle name="千分位 2 3 2 3 3 2" xfId="528" xr:uid="{71F61E9B-4D11-4747-BB0C-B8E3CBE96B6F}"/>
    <cellStyle name="千分位 2 3 2 3 3 3" xfId="864" xr:uid="{7BD8030C-A0D2-4096-AAD4-4F7484D148EA}"/>
    <cellStyle name="千分位 2 3 2 3 4" xfId="248" xr:uid="{3015542F-69A3-4B61-A745-9CE32390C2CC}"/>
    <cellStyle name="千分位 2 3 2 3 4 2" xfId="592" xr:uid="{EB66BAB9-020E-4C42-82C1-746D7C3A206D}"/>
    <cellStyle name="千分位 2 3 2 3 4 3" xfId="928" xr:uid="{80CFCE5E-9BBA-4C50-A599-C7AFEB11CA93}"/>
    <cellStyle name="千分位 2 3 2 3 5" xfId="396" xr:uid="{E31AB66A-0563-4412-A66C-3057A4832BF5}"/>
    <cellStyle name="千分位 2 3 2 3 6" xfId="732" xr:uid="{7A951E2E-2AB9-4728-ADF8-88CF724A5372}"/>
    <cellStyle name="千分位 2 3 2 4" xfId="83" xr:uid="{C46EF539-0C1F-4F91-A8A9-0047F8FF180F}"/>
    <cellStyle name="千分位 2 3 2 4 2" xfId="280" xr:uid="{85B624E0-9B19-424A-8B60-CD57011BAD68}"/>
    <cellStyle name="千分位 2 3 2 4 2 2" xfId="624" xr:uid="{B3B709BD-32AD-498D-ACA9-763282702764}"/>
    <cellStyle name="千分位 2 3 2 4 2 3" xfId="960" xr:uid="{9DAAE6A3-930C-4A0E-9BA6-69C125843BD4}"/>
    <cellStyle name="千分位 2 3 2 4 3" xfId="428" xr:uid="{09438941-8BE0-424A-91E6-CE94E8615F37}"/>
    <cellStyle name="千分位 2 3 2 4 4" xfId="764" xr:uid="{B9F652D7-ED1D-4FB6-9795-E25E6495CF81}"/>
    <cellStyle name="千分位 2 3 2 5" xfId="168" xr:uid="{11369C53-663C-4ECB-AF89-5E9BC020CFA9}"/>
    <cellStyle name="千分位 2 3 2 5 2" xfId="512" xr:uid="{527D99B3-5FD1-426B-8CF5-D44EACF3251F}"/>
    <cellStyle name="千分位 2 3 2 5 3" xfId="848" xr:uid="{0DAA49FB-3104-4937-B127-041DAC20B590}"/>
    <cellStyle name="千分位 2 3 2 6" xfId="216" xr:uid="{213EFDF1-AA1E-436E-8BC8-0A56540BC2D0}"/>
    <cellStyle name="千分位 2 3 2 6 2" xfId="560" xr:uid="{77F75900-498E-4B25-BF9A-08F139FBD61C}"/>
    <cellStyle name="千分位 2 3 2 6 3" xfId="896" xr:uid="{67D764A8-7784-4B25-9C77-7100EBF0F9A1}"/>
    <cellStyle name="千分位 2 3 2 7" xfId="364" xr:uid="{AB951C32-ABAD-42D8-B635-4AA3278834B7}"/>
    <cellStyle name="千分位 2 3 2 8" xfId="700" xr:uid="{BF7B253E-E91D-4B29-8353-53E092F3C802}"/>
    <cellStyle name="千分位 2 3 3" xfId="27" xr:uid="{50385CEC-5E54-401F-81ED-0075F809CBC5}"/>
    <cellStyle name="千分位 2 3 3 2" xfId="59" xr:uid="{A394B2E3-6A7D-4F83-926D-480D9DB3B9B9}"/>
    <cellStyle name="千分位 2 3 3 2 2" xfId="123" xr:uid="{62CFCB86-7478-42BC-BB22-6A21F7E96FA2}"/>
    <cellStyle name="千分位 2 3 3 2 2 2" xfId="320" xr:uid="{183B9B0F-AD4B-4E1A-853A-B17570CC8BB6}"/>
    <cellStyle name="千分位 2 3 3 2 2 2 2" xfId="664" xr:uid="{2C830EDD-FB81-4DE2-B7F2-1D9A405A642F}"/>
    <cellStyle name="千分位 2 3 3 2 2 2 3" xfId="1000" xr:uid="{BF36EEEA-434B-45DD-9563-40C02F170E9F}"/>
    <cellStyle name="千分位 2 3 3 2 2 3" xfId="468" xr:uid="{DE0D4685-7669-4A88-8D14-AA7351510370}"/>
    <cellStyle name="千分位 2 3 3 2 2 4" xfId="804" xr:uid="{78462A3B-647B-4E33-B024-74FD3FBD17D3}"/>
    <cellStyle name="千分位 2 3 3 2 3" xfId="192" xr:uid="{1E2A950E-F536-47F2-B109-CE7FE3F78FDF}"/>
    <cellStyle name="千分位 2 3 3 2 3 2" xfId="536" xr:uid="{0AE65919-5ACC-45A8-A6D7-5F1FC8380D4B}"/>
    <cellStyle name="千分位 2 3 3 2 3 3" xfId="872" xr:uid="{673C3E86-C90E-4EAD-A493-6DF258FE13BC}"/>
    <cellStyle name="千分位 2 3 3 2 4" xfId="256" xr:uid="{4F74C32C-719F-48A2-9AC8-E737E4B30004}"/>
    <cellStyle name="千分位 2 3 3 2 4 2" xfId="600" xr:uid="{05DDAA78-E3A2-4497-8972-A82942199345}"/>
    <cellStyle name="千分位 2 3 3 2 4 3" xfId="936" xr:uid="{B1AF6716-FD8B-4250-A8A5-41A093E918E5}"/>
    <cellStyle name="千分位 2 3 3 2 5" xfId="404" xr:uid="{B743AF94-EFF1-47CF-B51F-2A2F53A06389}"/>
    <cellStyle name="千分位 2 3 3 2 6" xfId="740" xr:uid="{F1F8AF93-BB3A-4DE1-86EA-B7ACCB93EA78}"/>
    <cellStyle name="千分位 2 3 3 3" xfId="91" xr:uid="{B2531D8E-42C3-4C2D-929B-49D4D737A421}"/>
    <cellStyle name="千分位 2 3 3 3 2" xfId="288" xr:uid="{5DD98EFB-4C55-42AA-BA7A-71102C8AE305}"/>
    <cellStyle name="千分位 2 3 3 3 2 2" xfId="632" xr:uid="{9F482B72-6E68-433C-A111-61BFBB92BC73}"/>
    <cellStyle name="千分位 2 3 3 3 2 3" xfId="968" xr:uid="{3453354E-3FFD-4BD7-A6F8-E56D86CB935A}"/>
    <cellStyle name="千分位 2 3 3 3 3" xfId="436" xr:uid="{9DAD5F38-48D5-42E8-8CCF-D67B4E730408}"/>
    <cellStyle name="千分位 2 3 3 3 4" xfId="772" xr:uid="{97E7564F-FAD1-48B7-96BA-0178DA77900B}"/>
    <cellStyle name="千分位 2 3 3 4" xfId="160" xr:uid="{556C6F84-F971-4D8A-80F2-A538449CCC46}"/>
    <cellStyle name="千分位 2 3 3 4 2" xfId="504" xr:uid="{B981A85A-5E59-4831-A1A3-603A0E1AE2A7}"/>
    <cellStyle name="千分位 2 3 3 4 3" xfId="840" xr:uid="{FA373954-7D35-4C4C-AB6C-7B1B85F18351}"/>
    <cellStyle name="千分位 2 3 3 5" xfId="224" xr:uid="{6672F8A4-16F3-4C40-8983-29D7A96BB19D}"/>
    <cellStyle name="千分位 2 3 3 5 2" xfId="568" xr:uid="{0B650346-70E1-4A57-966A-C58AD0741294}"/>
    <cellStyle name="千分位 2 3 3 5 3" xfId="904" xr:uid="{B3FFED7A-C68A-4739-95B1-0205A244BC43}"/>
    <cellStyle name="千分位 2 3 3 6" xfId="372" xr:uid="{CB9AD3E1-9A5E-4D16-B24E-EB648DBD3F70}"/>
    <cellStyle name="千分位 2 3 3 7" xfId="708" xr:uid="{93ED46BC-269D-4D45-9D6A-3F11B7F6C9E7}"/>
    <cellStyle name="千分位 2 3 4" xfId="43" xr:uid="{DCA2E0F1-5AB5-4C2F-8B04-833D74C55A77}"/>
    <cellStyle name="千分位 2 3 4 2" xfId="107" xr:uid="{4B2CED15-B6A1-4101-ADC1-1E70D2EB9D5F}"/>
    <cellStyle name="千分位 2 3 4 2 2" xfId="304" xr:uid="{C093137E-A00F-4F41-B13E-62D567963C9D}"/>
    <cellStyle name="千分位 2 3 4 2 2 2" xfId="648" xr:uid="{96BEF5A2-E0E9-4F8B-AF5A-3864DF04CC93}"/>
    <cellStyle name="千分位 2 3 4 2 2 3" xfId="984" xr:uid="{A83E6031-C661-4872-B144-F5ECCB7F09B5}"/>
    <cellStyle name="千分位 2 3 4 2 3" xfId="452" xr:uid="{58675827-BB01-4008-841E-175BFF4AF228}"/>
    <cellStyle name="千分位 2 3 4 2 4" xfId="788" xr:uid="{6BAE20E0-A794-43D0-BFF0-779178043950}"/>
    <cellStyle name="千分位 2 3 4 3" xfId="176" xr:uid="{69B69DE7-F80E-4D63-B75E-1C25BA1C230E}"/>
    <cellStyle name="千分位 2 3 4 3 2" xfId="520" xr:uid="{8A10E524-C060-494D-B47D-672A8B9D616B}"/>
    <cellStyle name="千分位 2 3 4 3 3" xfId="856" xr:uid="{6AAAEC2D-BB5D-4BF0-890C-838BF0A1FD8A}"/>
    <cellStyle name="千分位 2 3 4 4" xfId="240" xr:uid="{7B047C7C-2E3A-45DB-B26F-EEA64EDAC3F8}"/>
    <cellStyle name="千分位 2 3 4 4 2" xfId="584" xr:uid="{452F948B-07B7-4936-8BA5-B36E65BEEB97}"/>
    <cellStyle name="千分位 2 3 4 4 3" xfId="920" xr:uid="{C8B8EDF4-F0F1-4712-BBB5-E4CAB1839F8F}"/>
    <cellStyle name="千分位 2 3 4 5" xfId="388" xr:uid="{87B027E5-242B-40B0-AFFB-4FDE2E8111CB}"/>
    <cellStyle name="千分位 2 3 4 6" xfId="724" xr:uid="{38DD7813-EAB0-4525-9B3F-46D7339D36B6}"/>
    <cellStyle name="千分位 2 3 5" xfId="67" xr:uid="{AF79CB6B-5DA4-41C6-8031-051409ACAFFD}"/>
    <cellStyle name="千分位 2 3 5 2" xfId="131" xr:uid="{EDF31FC3-4D3E-42B3-A646-42BE682E6909}"/>
    <cellStyle name="千分位 2 3 5 2 2" xfId="328" xr:uid="{05ADD927-3295-480E-AE94-ECB7A8EC7273}"/>
    <cellStyle name="千分位 2 3 5 2 2 2" xfId="672" xr:uid="{64B38C37-EF26-4F02-8994-C9A5418CCC24}"/>
    <cellStyle name="千分位 2 3 5 2 2 3" xfId="1008" xr:uid="{8B0B273D-010D-4E7B-A24A-2F8FB2DC1404}"/>
    <cellStyle name="千分位 2 3 5 2 3" xfId="476" xr:uid="{11EEEF55-55B5-4A6D-9A05-CD543C3D0016}"/>
    <cellStyle name="千分位 2 3 5 2 4" xfId="812" xr:uid="{20256077-5034-49AD-A76A-04FDCC22A78D}"/>
    <cellStyle name="千分位 2 3 5 3" xfId="264" xr:uid="{0B3ADF96-5580-468E-B061-5217AAE4B372}"/>
    <cellStyle name="千分位 2 3 5 3 2" xfId="608" xr:uid="{A3919BD4-243E-4C11-B170-84FC8B719306}"/>
    <cellStyle name="千分位 2 3 5 3 3" xfId="944" xr:uid="{CF8A7331-232E-4083-8D07-278235B0C6F2}"/>
    <cellStyle name="千分位 2 3 5 4" xfId="412" xr:uid="{369E6278-9243-4BCF-A056-462CF4A3733F}"/>
    <cellStyle name="千分位 2 3 5 5" xfId="748" xr:uid="{123AB6FF-906F-4EAA-B7F8-C24038E337A0}"/>
    <cellStyle name="千分位 2 3 6" xfId="144" xr:uid="{9B9F0EFD-8B85-48A5-9FD9-77BC97D8C1E5}"/>
    <cellStyle name="千分位 2 3 6 2" xfId="340" xr:uid="{A8E02FBB-C91D-4D63-9434-77C9658ABFC6}"/>
    <cellStyle name="千分位 2 3 6 2 2" xfId="684" xr:uid="{622CB500-476E-4C2C-9969-AF0F09970D1D}"/>
    <cellStyle name="千分位 2 3 6 2 3" xfId="1020" xr:uid="{AC94D776-AC59-4AC0-B181-F1DD2DDAD176}"/>
    <cellStyle name="千分位 2 3 6 3" xfId="488" xr:uid="{B19290CA-4087-4A55-A7B2-C901BD242688}"/>
    <cellStyle name="千分位 2 3 6 4" xfId="824" xr:uid="{BFF44242-9A3C-4A60-9D61-8AFE017001AD}"/>
    <cellStyle name="千分位 2 3 7" xfId="79" xr:uid="{C36343B0-7B82-4417-9231-2BA5653B72E6}"/>
    <cellStyle name="千分位 2 3 7 2" xfId="276" xr:uid="{80AFE677-95B4-4B95-AB33-D732965BE0A8}"/>
    <cellStyle name="千分位 2 3 7 2 2" xfId="620" xr:uid="{26FDB67F-073B-4602-BC30-22A1AE067B12}"/>
    <cellStyle name="千分位 2 3 7 2 3" xfId="956" xr:uid="{246F6DA5-D49A-4E72-A4E3-10FB8245596F}"/>
    <cellStyle name="千分位 2 3 7 3" xfId="424" xr:uid="{333290FF-A38A-48B1-906A-CFDFC518ABF5}"/>
    <cellStyle name="千分位 2 3 7 4" xfId="760" xr:uid="{B3B1DB0F-5055-4502-B0FF-E5818BD8EDA9}"/>
    <cellStyle name="千分位 2 3 8" xfId="152" xr:uid="{93FE51B8-F3D2-45BE-8A6F-FD1DEDD075D6}"/>
    <cellStyle name="千分位 2 3 8 2" xfId="496" xr:uid="{6944EECC-5A8A-4629-9C5F-AEFEB1D6AC70}"/>
    <cellStyle name="千分位 2 3 8 3" xfId="832" xr:uid="{3DC8DD31-AD05-48C7-8F82-CA21443D1CFD}"/>
    <cellStyle name="千分位 2 3 9" xfId="212" xr:uid="{49CED759-87C5-48F2-B5E5-8606D6EE4462}"/>
    <cellStyle name="千分位 2 3 9 2" xfId="556" xr:uid="{2F2977FC-710B-4000-BBD7-2E1D3CDC23D2}"/>
    <cellStyle name="千分位 2 3 9 3" xfId="892" xr:uid="{E0129097-3698-46A1-9A5F-6EAFC632D7DB}"/>
    <cellStyle name="千分位 2 4" xfId="10" xr:uid="{B37FD996-FD00-4AB8-9CCD-15E975433758}"/>
    <cellStyle name="千分位 2 4 2" xfId="31" xr:uid="{F0D05877-F604-48C9-9FBC-C0E71E27A5B7}"/>
    <cellStyle name="千分位 2 4 2 2" xfId="95" xr:uid="{2CF56F2B-A6B3-4D95-A743-EF7BA6393149}"/>
    <cellStyle name="千分位 2 4 2 2 2" xfId="292" xr:uid="{E538413A-ECC4-4197-BADB-9B9EF5FF0F08}"/>
    <cellStyle name="千分位 2 4 2 2 2 2" xfId="636" xr:uid="{8222DA1C-8AFB-4121-9221-3A994F1A6786}"/>
    <cellStyle name="千分位 2 4 2 2 2 3" xfId="972" xr:uid="{7F13538F-4EAD-452C-BFB0-62A34AB0D0DF}"/>
    <cellStyle name="千分位 2 4 2 2 3" xfId="440" xr:uid="{49B0D736-348A-4A23-8B04-9EF95837FBF8}"/>
    <cellStyle name="千分位 2 4 2 2 4" xfId="776" xr:uid="{1F5F8231-A2AF-4058-8B41-D40454D134AF}"/>
    <cellStyle name="千分位 2 4 2 3" xfId="196" xr:uid="{EABDA6B5-50AC-4D6A-8C44-B625B49D8599}"/>
    <cellStyle name="千分位 2 4 2 3 2" xfId="540" xr:uid="{56D4FB89-1B54-4DF4-8066-5F9390DF388A}"/>
    <cellStyle name="千分位 2 4 2 3 3" xfId="876" xr:uid="{FFD6F9F0-4609-4F14-83E0-2FD7D114EBC3}"/>
    <cellStyle name="千分位 2 4 2 4" xfId="228" xr:uid="{A180B556-399A-4652-94E3-B091ED562EDD}"/>
    <cellStyle name="千分位 2 4 2 4 2" xfId="572" xr:uid="{39F40FED-D706-45DB-B12B-4B64CBEAD564}"/>
    <cellStyle name="千分位 2 4 2 4 3" xfId="908" xr:uid="{6464B8CF-573A-4327-A3FB-9CA245864A50}"/>
    <cellStyle name="千分位 2 4 2 5" xfId="376" xr:uid="{8EEDB5B9-5FD3-4102-BA47-CC7BBE2408B1}"/>
    <cellStyle name="千分位 2 4 2 6" xfId="712" xr:uid="{76993374-3892-434B-B042-2F739A17412C}"/>
    <cellStyle name="千分位 2 4 3" xfId="47" xr:uid="{B3CAD679-804E-4253-AE1A-D6D73C2DBFB2}"/>
    <cellStyle name="千分位 2 4 3 2" xfId="111" xr:uid="{93E4DAE1-4333-4B65-AC23-854814931310}"/>
    <cellStyle name="千分位 2 4 3 2 2" xfId="308" xr:uid="{1C377E32-E1D1-48D7-B10C-FE033FEE0A7E}"/>
    <cellStyle name="千分位 2 4 3 2 2 2" xfId="652" xr:uid="{E112FC2B-F92D-4EC0-9ECF-4279D01A7C4D}"/>
    <cellStyle name="千分位 2 4 3 2 2 3" xfId="988" xr:uid="{6E864BAF-8B7A-44FF-802D-F6EAD6AC0176}"/>
    <cellStyle name="千分位 2 4 3 2 3" xfId="456" xr:uid="{375F0FB3-E729-4BCF-9D5F-5C9819EEA780}"/>
    <cellStyle name="千分位 2 4 3 2 4" xfId="792" xr:uid="{143308CE-1C57-41E5-B08B-9CCD00014D23}"/>
    <cellStyle name="千分位 2 4 3 3" xfId="180" xr:uid="{0A5B3B43-071C-4729-99C5-6B6AD910AAC6}"/>
    <cellStyle name="千分位 2 4 3 3 2" xfId="524" xr:uid="{8D72DD99-EDD4-458D-955D-9CAFE78BE040}"/>
    <cellStyle name="千分位 2 4 3 3 3" xfId="860" xr:uid="{28006189-F724-42A3-B24F-94561F79B900}"/>
    <cellStyle name="千分位 2 4 3 4" xfId="244" xr:uid="{839A037B-86DA-4AD9-A041-022FABDF9363}"/>
    <cellStyle name="千分位 2 4 3 4 2" xfId="588" xr:uid="{899211E2-0AB2-4688-9A5F-997DE98D2056}"/>
    <cellStyle name="千分位 2 4 3 4 3" xfId="924" xr:uid="{B0B03071-D422-4985-9459-B183D30444AA}"/>
    <cellStyle name="千分位 2 4 3 5" xfId="392" xr:uid="{F8091F03-8DC0-4E46-8F2A-570A13858219}"/>
    <cellStyle name="千分位 2 4 3 6" xfId="728" xr:uid="{E9C017D5-7AD0-45C0-8127-B814687215AB}"/>
    <cellStyle name="千分位 2 4 4" xfId="140" xr:uid="{940A391C-638B-4338-9D61-2809A2FCF2D2}"/>
    <cellStyle name="千分位 2 4 4 2" xfId="336" xr:uid="{6FE4C53F-4982-4DE0-A092-1EDD7D309610}"/>
    <cellStyle name="千分位 2 4 4 2 2" xfId="680" xr:uid="{823A2DF7-D7DE-4585-A6EE-6F1C5BC2976E}"/>
    <cellStyle name="千分位 2 4 4 2 3" xfId="1016" xr:uid="{47337948-56A8-4935-824B-983205AAE98E}"/>
    <cellStyle name="千分位 2 4 4 3" xfId="484" xr:uid="{99435950-C3B4-48F4-8E68-916901FFC3F1}"/>
    <cellStyle name="千分位 2 4 4 4" xfId="820" xr:uid="{BCC035E1-A70D-41A6-A3D5-CEBE203EC14D}"/>
    <cellStyle name="千分位 2 4 5" xfId="75" xr:uid="{7DBC4F3E-C78B-490F-90E6-FD07109DCA8E}"/>
    <cellStyle name="千分位 2 4 5 2" xfId="272" xr:uid="{496BA221-1CC3-47A0-A405-516F1FC0BDE6}"/>
    <cellStyle name="千分位 2 4 5 2 2" xfId="616" xr:uid="{67D38837-FB06-4073-9D80-454D91EC3043}"/>
    <cellStyle name="千分位 2 4 5 2 3" xfId="952" xr:uid="{FB7725C5-E505-44F7-AC12-32CB2ADDF201}"/>
    <cellStyle name="千分位 2 4 5 3" xfId="420" xr:uid="{C78943E2-1DD8-4198-AEAD-61425DB3F637}"/>
    <cellStyle name="千分位 2 4 5 4" xfId="756" xr:uid="{9ED70AAB-178F-4915-B34D-26CBE8335848}"/>
    <cellStyle name="千分位 2 4 6" xfId="164" xr:uid="{9829D9EE-5F1A-4CE1-BB30-B5CBE53E825F}"/>
    <cellStyle name="千分位 2 4 6 2" xfId="508" xr:uid="{857E81A1-2599-4401-A439-5FFA0397B533}"/>
    <cellStyle name="千分位 2 4 6 3" xfId="844" xr:uid="{AFF5B6EE-4580-405C-8F17-DE86744C206F}"/>
    <cellStyle name="千分位 2 4 7" xfId="208" xr:uid="{53066FB5-5090-4DAC-B521-63F1035DFC77}"/>
    <cellStyle name="千分位 2 4 7 2" xfId="552" xr:uid="{7EE1F115-23AB-4783-8A3E-5E7706415460}"/>
    <cellStyle name="千分位 2 4 7 3" xfId="888" xr:uid="{DA9269C9-5989-4D9D-B26B-4F8D5A120CB4}"/>
    <cellStyle name="千分位 2 4 8" xfId="356" xr:uid="{508B9950-7FE6-440D-B6EA-1526BFD4B749}"/>
    <cellStyle name="千分位 2 4 9" xfId="692" xr:uid="{85A07BB2-FD2C-4475-B944-8CD4EE80BD25}"/>
    <cellStyle name="千分位 2 5" xfId="23" xr:uid="{9215FD82-CAF8-4989-B851-CA42B864E355}"/>
    <cellStyle name="千分位 2 5 2" xfId="55" xr:uid="{3F27C60A-A741-43FF-BEE2-985F2D8C1D10}"/>
    <cellStyle name="千分位 2 5 2 2" xfId="119" xr:uid="{74613495-CED9-4C70-93D4-E804484A6057}"/>
    <cellStyle name="千分位 2 5 2 2 2" xfId="316" xr:uid="{1960FB53-D4BA-4419-ACCB-4CBE7E456857}"/>
    <cellStyle name="千分位 2 5 2 2 2 2" xfId="660" xr:uid="{A920C161-FB74-41C6-BAC3-77AB16FDAD4C}"/>
    <cellStyle name="千分位 2 5 2 2 2 3" xfId="996" xr:uid="{D63C4132-677C-4033-A09E-BDC22E4B88FA}"/>
    <cellStyle name="千分位 2 5 2 2 3" xfId="464" xr:uid="{54ECAD63-A159-4392-BC59-47C79B91634F}"/>
    <cellStyle name="千分位 2 5 2 2 4" xfId="800" xr:uid="{3C5688A2-43AC-460E-898C-B08335450517}"/>
    <cellStyle name="千分位 2 5 2 3" xfId="188" xr:uid="{8462F2A8-143A-44FB-A10E-02BEB8379783}"/>
    <cellStyle name="千分位 2 5 2 3 2" xfId="532" xr:uid="{3B1B1015-1CC4-425A-8377-5DBFD61AC39E}"/>
    <cellStyle name="千分位 2 5 2 3 3" xfId="868" xr:uid="{E12F6A3B-31B6-4C1F-A526-21CF4AA08926}"/>
    <cellStyle name="千分位 2 5 2 4" xfId="252" xr:uid="{399B197B-CD70-4B34-97B3-5E0DE614ACFB}"/>
    <cellStyle name="千分位 2 5 2 4 2" xfId="596" xr:uid="{D6737933-B2FB-48E5-BA53-67210B44BF5A}"/>
    <cellStyle name="千分位 2 5 2 4 3" xfId="932" xr:uid="{2FBFA2C8-F36A-4AC1-BCD5-B1858787B97E}"/>
    <cellStyle name="千分位 2 5 2 5" xfId="400" xr:uid="{7BF48D75-0392-487B-8BFE-2AFA7D73C37F}"/>
    <cellStyle name="千分位 2 5 2 6" xfId="736" xr:uid="{1C6CD4D1-1842-43A0-9EFA-12D319130DFA}"/>
    <cellStyle name="千分位 2 5 3" xfId="87" xr:uid="{B7D7ABA3-6B82-4B06-ADA4-A8D1E05B77FD}"/>
    <cellStyle name="千分位 2 5 3 2" xfId="284" xr:uid="{F7E5D658-5F34-480B-BCAF-987363F3BD1E}"/>
    <cellStyle name="千分位 2 5 3 2 2" xfId="628" xr:uid="{E4C24754-1CD6-4DA3-8780-658F5EF494F6}"/>
    <cellStyle name="千分位 2 5 3 2 3" xfId="964" xr:uid="{5A0FBFF2-D03A-47CB-9BBC-093B8DC0CE70}"/>
    <cellStyle name="千分位 2 5 3 3" xfId="432" xr:uid="{8CC81086-8574-4B33-91D9-9E5F52686CA2}"/>
    <cellStyle name="千分位 2 5 3 4" xfId="768" xr:uid="{E7D5B2C4-9E61-4F5E-8710-4551AC3BA9A2}"/>
    <cellStyle name="千分位 2 5 4" xfId="156" xr:uid="{99D71ECB-AC65-4920-A6DC-1D5B96B6B864}"/>
    <cellStyle name="千分位 2 5 4 2" xfId="500" xr:uid="{53D527A7-83B2-4B03-BFCB-6FD1C900DE35}"/>
    <cellStyle name="千分位 2 5 4 3" xfId="836" xr:uid="{3D5EBE9E-9873-4CF9-AABF-C4CED5DC44E1}"/>
    <cellStyle name="千分位 2 5 5" xfId="220" xr:uid="{DEE440F8-2DC0-4CF8-B89C-41CC95505921}"/>
    <cellStyle name="千分位 2 5 5 2" xfId="564" xr:uid="{EBFFC69C-C8A6-4DC4-A528-47D3DF9F81C2}"/>
    <cellStyle name="千分位 2 5 5 3" xfId="900" xr:uid="{F50C4AF0-9851-43B5-BC8C-B1FD78072EE4}"/>
    <cellStyle name="千分位 2 5 6" xfId="368" xr:uid="{A5C42781-9BB8-4B39-AEAC-02CA8575B79B}"/>
    <cellStyle name="千分位 2 5 7" xfId="704" xr:uid="{DF7279A1-AB50-4F4C-BED3-A11E12D873E4}"/>
    <cellStyle name="千分位 2 6" xfId="39" xr:uid="{9AD85A48-EA06-46E1-930F-8A33E25602EE}"/>
    <cellStyle name="千分位 2 6 2" xfId="103" xr:uid="{EA5CD10B-BC4B-4524-A219-96B954B19FC5}"/>
    <cellStyle name="千分位 2 6 2 2" xfId="300" xr:uid="{730BC524-84A1-4674-BEBC-DC36A5C440E3}"/>
    <cellStyle name="千分位 2 6 2 2 2" xfId="644" xr:uid="{189CCC4A-C630-4B92-89B1-C247C1988BBD}"/>
    <cellStyle name="千分位 2 6 2 2 3" xfId="980" xr:uid="{2953CE33-F706-49D4-9312-991A8983D960}"/>
    <cellStyle name="千分位 2 6 2 3" xfId="448" xr:uid="{10EB0740-6A87-4C6C-90BA-8D6F76E50CEF}"/>
    <cellStyle name="千分位 2 6 2 4" xfId="784" xr:uid="{50121FF2-8ED2-42FC-9DE9-0B24041375F3}"/>
    <cellStyle name="千分位 2 6 3" xfId="172" xr:uid="{5F40067F-C7DB-45F4-B2F4-63F3FB847C85}"/>
    <cellStyle name="千分位 2 6 3 2" xfId="516" xr:uid="{33E8E8C0-0D34-4B88-B2DF-1DD615C3BD1D}"/>
    <cellStyle name="千分位 2 6 3 3" xfId="852" xr:uid="{4082C2B7-7FE9-452E-9F85-98FD6BBE8B27}"/>
    <cellStyle name="千分位 2 6 4" xfId="236" xr:uid="{43DAE2DB-5ABA-425B-8616-C827A77F4D66}"/>
    <cellStyle name="千分位 2 6 4 2" xfId="580" xr:uid="{CC50166E-9451-4F8A-95C9-C65EE23D8129}"/>
    <cellStyle name="千分位 2 6 4 3" xfId="916" xr:uid="{3A996931-61DE-4139-80F0-ED26963B1532}"/>
    <cellStyle name="千分位 2 6 5" xfId="384" xr:uid="{93D71C25-810F-47C4-9AAA-721447E6D736}"/>
    <cellStyle name="千分位 2 6 6" xfId="720" xr:uid="{DBD31BC7-497E-4AE8-892D-678080377A5F}"/>
    <cellStyle name="千分位 2 7" xfId="63" xr:uid="{CBFA0314-0B9F-4879-A022-4D30C2CDA5AE}"/>
    <cellStyle name="千分位 2 7 2" xfId="127" xr:uid="{08631D2B-F6E0-4CD7-8181-FD47BFAB481C}"/>
    <cellStyle name="千分位 2 7 2 2" xfId="324" xr:uid="{A2700401-14C0-4B51-BEBF-7FE6E0D7BDD8}"/>
    <cellStyle name="千分位 2 7 2 2 2" xfId="668" xr:uid="{2D2D3710-8015-400E-8CEA-227102D0C2B7}"/>
    <cellStyle name="千分位 2 7 2 2 3" xfId="1004" xr:uid="{7F85B1C0-3670-4189-AF13-37F798C439D4}"/>
    <cellStyle name="千分位 2 7 2 3" xfId="472" xr:uid="{3B8FCB14-F27F-4531-BD25-7E0C3DBD7BBA}"/>
    <cellStyle name="千分位 2 7 2 4" xfId="808" xr:uid="{EFD77E21-1749-4204-BE5A-CD1A9964411C}"/>
    <cellStyle name="千分位 2 7 3" xfId="260" xr:uid="{3197A828-27C4-423F-9DB6-BD83AA07A826}"/>
    <cellStyle name="千分位 2 7 3 2" xfId="604" xr:uid="{9513C32D-6487-4A62-B9EB-176E3E5686D5}"/>
    <cellStyle name="千分位 2 7 3 3" xfId="940" xr:uid="{AE41C8CE-318B-4988-938B-E79A998A93CE}"/>
    <cellStyle name="千分位 2 7 4" xfId="408" xr:uid="{5AEE54B6-DF50-4BA9-8A5E-8B45CB682239}"/>
    <cellStyle name="千分位 2 7 5" xfId="744" xr:uid="{C177371D-3E7C-4A50-8ED1-93A7D49AA9AB}"/>
    <cellStyle name="千分位 2 8" xfId="136" xr:uid="{771B4E66-A17D-47F9-8E67-B396DF60351C}"/>
    <cellStyle name="千分位 2 8 2" xfId="332" xr:uid="{F530B4D8-BCCA-416B-9E52-B1B0928DECD0}"/>
    <cellStyle name="千分位 2 8 2 2" xfId="676" xr:uid="{1502EE8F-BBEC-4B0D-8A74-D9A2072601C7}"/>
    <cellStyle name="千分位 2 8 2 3" xfId="1012" xr:uid="{AF0769C5-BBBC-46C5-9582-683FA4CE9563}"/>
    <cellStyle name="千分位 2 8 3" xfId="480" xr:uid="{93CB73FA-592B-49E0-AA79-823CFAF802A2}"/>
    <cellStyle name="千分位 2 8 4" xfId="816" xr:uid="{E6D3717E-2868-4C61-9F24-EAAD189001EF}"/>
    <cellStyle name="千分位 2 9" xfId="71" xr:uid="{39FF0770-5331-450C-9066-42C3A36E00C0}"/>
    <cellStyle name="千分位 2 9 2" xfId="268" xr:uid="{B5207D63-0F44-4BBF-865D-8A9440A281E6}"/>
    <cellStyle name="千分位 2 9 2 2" xfId="612" xr:uid="{CED59DEC-94E1-47AD-BD61-8C73296A6748}"/>
    <cellStyle name="千分位 2 9 2 3" xfId="948" xr:uid="{14FA9653-43F6-476C-9C87-93AA86F6FE07}"/>
    <cellStyle name="千分位 2 9 3" xfId="416" xr:uid="{F6C1DEC2-340B-4C4F-8F24-4452E9AC4E95}"/>
    <cellStyle name="千分位 2 9 4" xfId="752" xr:uid="{248372AD-9188-49CD-8EB8-38854D51918F}"/>
    <cellStyle name="貨幣 2" xfId="6" xr:uid="{632BC9F3-074D-4389-AAFA-E2849A15E342}"/>
    <cellStyle name="貨幣 2 10" xfId="149" xr:uid="{6BF915D9-2B64-4C1D-9FBE-3A59072C1AE8}"/>
    <cellStyle name="貨幣 2 10 2" xfId="493" xr:uid="{14077A93-4077-4780-B9E5-E703DCD55B68}"/>
    <cellStyle name="貨幣 2 10 3" xfId="829" xr:uid="{37852BEF-C8AA-41F8-9DA3-28C3C49A94D7}"/>
    <cellStyle name="貨幣 2 11" xfId="205" xr:uid="{219353C4-B471-462E-A5CA-3870B8456E95}"/>
    <cellStyle name="貨幣 2 11 2" xfId="549" xr:uid="{0231A4AC-71B9-43B6-835E-A448DA18CEA8}"/>
    <cellStyle name="貨幣 2 11 3" xfId="885" xr:uid="{23806F81-BC02-42E9-813D-B63F7B2D8763}"/>
    <cellStyle name="貨幣 2 12" xfId="345" xr:uid="{356389B6-E553-43E8-9B67-B29E0502F39C}"/>
    <cellStyle name="貨幣 2 12 2" xfId="1025" xr:uid="{306DD9F5-AA7C-49C8-8DEA-32D207697928}"/>
    <cellStyle name="貨幣 2 13" xfId="353" xr:uid="{BA07845B-6C84-41CD-B9C5-896CF0B000F2}"/>
    <cellStyle name="貨幣 2 14" xfId="689" xr:uid="{DADBB8AF-8A74-4905-84C9-6FF8E4B5EB66}"/>
    <cellStyle name="貨幣 2 2" xfId="8" xr:uid="{4D19BA56-3C5E-45F5-A869-2D909DF416B5}"/>
    <cellStyle name="貨幣 2 2 10" xfId="207" xr:uid="{8D4B5FA6-9D33-4B44-BC8A-6D97FF92A48C}"/>
    <cellStyle name="貨幣 2 2 10 2" xfId="551" xr:uid="{4CBFE797-9EB7-4C75-96C5-E0FE8D315496}"/>
    <cellStyle name="貨幣 2 2 10 3" xfId="887" xr:uid="{2F05DF6D-FB40-4973-A574-84BD4AD56739}"/>
    <cellStyle name="貨幣 2 2 11" xfId="347" xr:uid="{45AC1B9D-EEC3-468C-9BEE-FA1F6631F2E7}"/>
    <cellStyle name="貨幣 2 2 11 2" xfId="1027" xr:uid="{18749993-602F-4E94-A2B3-E081702540E9}"/>
    <cellStyle name="貨幣 2 2 12" xfId="355" xr:uid="{D67AF0F8-773B-445D-8622-64FA3AB19FD1}"/>
    <cellStyle name="貨幣 2 2 13" xfId="691" xr:uid="{500D1578-713D-4F9C-BDF2-6444C88ADF63}"/>
    <cellStyle name="貨幣 2 2 2" xfId="17" xr:uid="{5DAA13DE-F10E-4A44-81CF-855612CDF909}"/>
    <cellStyle name="貨幣 2 2 2 10" xfId="351" xr:uid="{98D87C48-966E-4AD4-91E8-5BB5CA36D219}"/>
    <cellStyle name="貨幣 2 2 2 10 2" xfId="1031" xr:uid="{2C87994D-2110-4B4A-B39D-5EEA7AC381A8}"/>
    <cellStyle name="貨幣 2 2 2 11" xfId="363" xr:uid="{5874E365-028E-4E29-9D3C-DA9A1DBAA889}"/>
    <cellStyle name="貨幣 2 2 2 12" xfId="699" xr:uid="{5BE04793-9293-4B08-A8F4-ADCBF2568F93}"/>
    <cellStyle name="貨幣 2 2 2 2" xfId="22" xr:uid="{301D52E2-CC60-4635-BB37-F05952A197D0}"/>
    <cellStyle name="貨幣 2 2 2 2 2" xfId="38" xr:uid="{F135561E-C6CB-403A-8299-D0CFA5C79B3A}"/>
    <cellStyle name="貨幣 2 2 2 2 2 2" xfId="102" xr:uid="{79FEC624-AA39-4D1D-8688-30510FF13BB1}"/>
    <cellStyle name="貨幣 2 2 2 2 2 2 2" xfId="299" xr:uid="{C6AA97E1-880D-4682-8CCE-C99F9B4453CC}"/>
    <cellStyle name="貨幣 2 2 2 2 2 2 2 2" xfId="643" xr:uid="{88BF51A2-E7BF-4F63-9254-44DCE89C5CAF}"/>
    <cellStyle name="貨幣 2 2 2 2 2 2 2 3" xfId="979" xr:uid="{F842BBFC-FC3D-4FDB-BF65-28935C2CACA3}"/>
    <cellStyle name="貨幣 2 2 2 2 2 2 3" xfId="447" xr:uid="{E4011288-865A-45A6-AA8D-BDAF8BF192F3}"/>
    <cellStyle name="貨幣 2 2 2 2 2 2 4" xfId="783" xr:uid="{60881278-E96B-42A0-A54B-B84C4323E88C}"/>
    <cellStyle name="貨幣 2 2 2 2 2 3" xfId="203" xr:uid="{DAEA8C19-DD5C-4269-B758-969C671E1F90}"/>
    <cellStyle name="貨幣 2 2 2 2 2 3 2" xfId="547" xr:uid="{4D9D22DE-091F-4A9A-A510-CD3679A0BF13}"/>
    <cellStyle name="貨幣 2 2 2 2 2 3 3" xfId="883" xr:uid="{6BB3332F-CFCE-4947-B0FF-9110817135B4}"/>
    <cellStyle name="貨幣 2 2 2 2 2 4" xfId="235" xr:uid="{F6946F9A-9A47-4179-8AEC-445CBBBFA7D1}"/>
    <cellStyle name="貨幣 2 2 2 2 2 4 2" xfId="579" xr:uid="{FAC15EA8-00B9-4686-9E21-DCB0CF2B3503}"/>
    <cellStyle name="貨幣 2 2 2 2 2 4 3" xfId="915" xr:uid="{D0200DC7-22B7-437A-8D1B-A8010810922E}"/>
    <cellStyle name="貨幣 2 2 2 2 2 5" xfId="383" xr:uid="{DE7A64D2-BDF4-40EB-BC3E-32A5B47B39C7}"/>
    <cellStyle name="貨幣 2 2 2 2 2 6" xfId="719" xr:uid="{AAA0C792-CACA-4D27-8DC6-E93666D2A951}"/>
    <cellStyle name="貨幣 2 2 2 2 3" xfId="54" xr:uid="{D2672BD0-73AE-4E10-84C8-13F9F5E837BB}"/>
    <cellStyle name="貨幣 2 2 2 2 3 2" xfId="118" xr:uid="{2DC43AD0-6159-434B-9A3B-DD7486B589FE}"/>
    <cellStyle name="貨幣 2 2 2 2 3 2 2" xfId="315" xr:uid="{23B9AEC0-51AD-43BC-B2AE-B52FCCF1DEA3}"/>
    <cellStyle name="貨幣 2 2 2 2 3 2 2 2" xfId="659" xr:uid="{4FC6916A-2F55-4E2F-AC4E-2263125C32D7}"/>
    <cellStyle name="貨幣 2 2 2 2 3 2 2 3" xfId="995" xr:uid="{C6D30310-FF94-4F7B-A2D1-DB01D1D90953}"/>
    <cellStyle name="貨幣 2 2 2 2 3 2 3" xfId="463" xr:uid="{9740BDF7-3E1E-4557-ABA9-B7CEDBC40CBF}"/>
    <cellStyle name="貨幣 2 2 2 2 3 2 4" xfId="799" xr:uid="{9326F1B5-97C6-49B8-987C-62BCA17AFBB9}"/>
    <cellStyle name="貨幣 2 2 2 2 3 3" xfId="187" xr:uid="{6DC2B723-4754-4CF9-B651-883561443C50}"/>
    <cellStyle name="貨幣 2 2 2 2 3 3 2" xfId="531" xr:uid="{D2C15CAD-B7CA-4873-A4FD-73A76D64F8BB}"/>
    <cellStyle name="貨幣 2 2 2 2 3 3 3" xfId="867" xr:uid="{8BE07DBF-BD76-41DE-A295-95C59E0207C2}"/>
    <cellStyle name="貨幣 2 2 2 2 3 4" xfId="251" xr:uid="{535DDD82-DC1A-44D3-9793-969E91A546FF}"/>
    <cellStyle name="貨幣 2 2 2 2 3 4 2" xfId="595" xr:uid="{B3D30671-A1A0-4A06-804E-94C5D286E909}"/>
    <cellStyle name="貨幣 2 2 2 2 3 4 3" xfId="931" xr:uid="{BAD7D2E3-5CCA-4815-8299-892ADC69C7F9}"/>
    <cellStyle name="貨幣 2 2 2 2 3 5" xfId="399" xr:uid="{2EADCF21-7D17-4EFB-8EAD-97618DB05BAF}"/>
    <cellStyle name="貨幣 2 2 2 2 3 6" xfId="735" xr:uid="{7DCCE865-9F63-4BE6-8292-A1D33F6EAFA4}"/>
    <cellStyle name="貨幣 2 2 2 2 4" xfId="86" xr:uid="{BFB52658-D137-4527-B97B-6BD092159328}"/>
    <cellStyle name="貨幣 2 2 2 2 4 2" xfId="283" xr:uid="{D0177A4F-1C0F-4F0D-BD3A-F734CDFB9CA8}"/>
    <cellStyle name="貨幣 2 2 2 2 4 2 2" xfId="627" xr:uid="{EF4A05D8-7CF5-435A-980E-CDD4830C3D61}"/>
    <cellStyle name="貨幣 2 2 2 2 4 2 3" xfId="963" xr:uid="{1768A040-239F-4CCA-B52A-CD82DD94AD7A}"/>
    <cellStyle name="貨幣 2 2 2 2 4 3" xfId="431" xr:uid="{FD9FFFAD-0085-4BD2-A734-B3BA16995E3B}"/>
    <cellStyle name="貨幣 2 2 2 2 4 4" xfId="767" xr:uid="{97DE31DF-6F5C-4951-890E-96C9697ED7CD}"/>
    <cellStyle name="貨幣 2 2 2 2 5" xfId="171" xr:uid="{F40DDC2D-1B55-4F98-B51B-6DD7957FFF8F}"/>
    <cellStyle name="貨幣 2 2 2 2 5 2" xfId="515" xr:uid="{3D86532C-4ED7-4246-89E4-8E7A66431C11}"/>
    <cellStyle name="貨幣 2 2 2 2 5 3" xfId="851" xr:uid="{06929306-6E04-4EEF-B4DE-B772C8F80EB1}"/>
    <cellStyle name="貨幣 2 2 2 2 6" xfId="219" xr:uid="{56C8420B-5136-4DA2-83CC-9F22D1B613CB}"/>
    <cellStyle name="貨幣 2 2 2 2 6 2" xfId="563" xr:uid="{7B27E002-2FC6-4F74-9BC2-FA576206AF31}"/>
    <cellStyle name="貨幣 2 2 2 2 6 3" xfId="899" xr:uid="{5E401C11-45D4-413E-A02B-EBD1B75B9291}"/>
    <cellStyle name="貨幣 2 2 2 2 7" xfId="367" xr:uid="{0C2D9331-4891-417C-AE94-57925D7BE951}"/>
    <cellStyle name="貨幣 2 2 2 2 8" xfId="703" xr:uid="{63A9BD84-AA06-4016-8196-E5697AB81AF1}"/>
    <cellStyle name="貨幣 2 2 2 3" xfId="30" xr:uid="{2A3499C4-72B5-4BA8-8367-492B219D67E1}"/>
    <cellStyle name="貨幣 2 2 2 3 2" xfId="62" xr:uid="{38E2CFB5-CAB8-45A9-8CE1-795B9B52AB4D}"/>
    <cellStyle name="貨幣 2 2 2 3 2 2" xfId="126" xr:uid="{757C87A0-B0B0-4686-AC05-D1E7749C4F92}"/>
    <cellStyle name="貨幣 2 2 2 3 2 2 2" xfId="323" xr:uid="{56C48C1D-7C41-4697-82F0-EFE564DDA01B}"/>
    <cellStyle name="貨幣 2 2 2 3 2 2 2 2" xfId="667" xr:uid="{CBCB6E70-A391-4E51-8549-F76173DFD529}"/>
    <cellStyle name="貨幣 2 2 2 3 2 2 2 3" xfId="1003" xr:uid="{F81E1070-AADB-4633-8A8F-CCB005971993}"/>
    <cellStyle name="貨幣 2 2 2 3 2 2 3" xfId="471" xr:uid="{256D9211-D606-4F2B-895F-84EE1E2B2A23}"/>
    <cellStyle name="貨幣 2 2 2 3 2 2 4" xfId="807" xr:uid="{E90B5C5C-65AC-43EA-A9AC-C78B40DD15C3}"/>
    <cellStyle name="貨幣 2 2 2 3 2 3" xfId="195" xr:uid="{E062DC33-C05D-49A7-83DD-9F04FD522120}"/>
    <cellStyle name="貨幣 2 2 2 3 2 3 2" xfId="539" xr:uid="{F2F34CB1-36F1-4840-BA60-87FF80DF94A4}"/>
    <cellStyle name="貨幣 2 2 2 3 2 3 3" xfId="875" xr:uid="{20A00426-17E2-4ABB-A7C1-01E09678FFA6}"/>
    <cellStyle name="貨幣 2 2 2 3 2 4" xfId="259" xr:uid="{60A8C5F0-3544-40CB-BAA2-DAF143EC222D}"/>
    <cellStyle name="貨幣 2 2 2 3 2 4 2" xfId="603" xr:uid="{EFF083C4-D018-46A0-822C-EA6B00D7B502}"/>
    <cellStyle name="貨幣 2 2 2 3 2 4 3" xfId="939" xr:uid="{E145E59E-A1F6-4757-9914-3028DE06093A}"/>
    <cellStyle name="貨幣 2 2 2 3 2 5" xfId="407" xr:uid="{D0AC2390-A037-40F4-B9C7-2E3137199AB6}"/>
    <cellStyle name="貨幣 2 2 2 3 2 6" xfId="743" xr:uid="{9D13AF42-12A1-45C5-BC14-2C18DAAD1B6E}"/>
    <cellStyle name="貨幣 2 2 2 3 3" xfId="94" xr:uid="{7724676A-BD4D-404C-A92D-ECBBE9BFE071}"/>
    <cellStyle name="貨幣 2 2 2 3 3 2" xfId="291" xr:uid="{A0AB7422-818D-4A2D-9F21-3B7F04E7CF14}"/>
    <cellStyle name="貨幣 2 2 2 3 3 2 2" xfId="635" xr:uid="{49751AEB-596A-4518-9D29-9AF1C40E73EA}"/>
    <cellStyle name="貨幣 2 2 2 3 3 2 3" xfId="971" xr:uid="{74D83AEB-7AFE-49F7-9823-9DE4F435F122}"/>
    <cellStyle name="貨幣 2 2 2 3 3 3" xfId="439" xr:uid="{C51FDCE0-5B71-4F82-A92F-6692CA4B6436}"/>
    <cellStyle name="貨幣 2 2 2 3 3 4" xfId="775" xr:uid="{D6DA360B-7456-408E-9CAB-2390C029AF3E}"/>
    <cellStyle name="貨幣 2 2 2 3 4" xfId="163" xr:uid="{EA74C4A4-0FDC-4224-997C-7E483F1D8DA7}"/>
    <cellStyle name="貨幣 2 2 2 3 4 2" xfId="507" xr:uid="{FF94E956-F0EE-499C-BA1B-50537E31EA93}"/>
    <cellStyle name="貨幣 2 2 2 3 4 3" xfId="843" xr:uid="{BCFA061D-42B2-45CA-A6EB-FC9ED8EB0DBD}"/>
    <cellStyle name="貨幣 2 2 2 3 5" xfId="227" xr:uid="{CDC3A919-C6AD-4C87-8389-B6EEA7137D33}"/>
    <cellStyle name="貨幣 2 2 2 3 5 2" xfId="571" xr:uid="{49FACABE-BFC1-4118-8260-D90C05DE0722}"/>
    <cellStyle name="貨幣 2 2 2 3 5 3" xfId="907" xr:uid="{8D64E6C8-41A7-4E75-929B-D244E590C367}"/>
    <cellStyle name="貨幣 2 2 2 3 6" xfId="375" xr:uid="{DFCD4A97-0BC9-429D-BCFB-39FC19A404AC}"/>
    <cellStyle name="貨幣 2 2 2 3 7" xfId="711" xr:uid="{D02196AD-F969-4C3F-9D03-58159BB050D1}"/>
    <cellStyle name="貨幣 2 2 2 4" xfId="46" xr:uid="{F77DC89A-3BDD-4EED-BED8-2973DA00E497}"/>
    <cellStyle name="貨幣 2 2 2 4 2" xfId="110" xr:uid="{A5302C40-4786-478E-A607-52ED19474C4C}"/>
    <cellStyle name="貨幣 2 2 2 4 2 2" xfId="307" xr:uid="{077B416C-441A-43C0-996C-E3E8D55F8AF5}"/>
    <cellStyle name="貨幣 2 2 2 4 2 2 2" xfId="651" xr:uid="{296A5ABC-7675-47C3-B8ED-71EE1204A129}"/>
    <cellStyle name="貨幣 2 2 2 4 2 2 3" xfId="987" xr:uid="{B1104881-22BB-4400-A584-E07A66F73427}"/>
    <cellStyle name="貨幣 2 2 2 4 2 3" xfId="455" xr:uid="{6045275E-F7EF-4B14-8D98-F08ED417EDFB}"/>
    <cellStyle name="貨幣 2 2 2 4 2 4" xfId="791" xr:uid="{F4AFF3FD-B550-4A12-B118-F1CAFBFA5D41}"/>
    <cellStyle name="貨幣 2 2 2 4 3" xfId="179" xr:uid="{1D95DDCE-3A13-472E-83B6-C86847C85B3C}"/>
    <cellStyle name="貨幣 2 2 2 4 3 2" xfId="523" xr:uid="{CA7F94C9-7348-4078-A621-66CC0201D9F9}"/>
    <cellStyle name="貨幣 2 2 2 4 3 3" xfId="859" xr:uid="{4DF1FFC7-5BB6-420F-83F0-0F7AAD194B8A}"/>
    <cellStyle name="貨幣 2 2 2 4 4" xfId="243" xr:uid="{255ACE0E-6517-4FEF-B2F1-C0B6C1D33682}"/>
    <cellStyle name="貨幣 2 2 2 4 4 2" xfId="587" xr:uid="{68B82466-F366-4BF1-99C7-9A57A2F10D3D}"/>
    <cellStyle name="貨幣 2 2 2 4 4 3" xfId="923" xr:uid="{2C4B41D4-9ED8-4069-8ACC-B1A1179E06EA}"/>
    <cellStyle name="貨幣 2 2 2 4 5" xfId="391" xr:uid="{ACE9DD9D-3B29-474D-BB4C-3960D7E6C1F0}"/>
    <cellStyle name="貨幣 2 2 2 4 6" xfId="727" xr:uid="{1E213B17-49D2-4C0B-B8CC-8B525EB52CE9}"/>
    <cellStyle name="貨幣 2 2 2 5" xfId="70" xr:uid="{68E0E502-C86F-4442-B05A-D6364573B324}"/>
    <cellStyle name="貨幣 2 2 2 5 2" xfId="134" xr:uid="{D739D28C-D881-41D1-B111-2CBEA70BB8E3}"/>
    <cellStyle name="貨幣 2 2 2 5 2 2" xfId="331" xr:uid="{485DE850-3D13-4F49-AEC9-06D79CA6CB06}"/>
    <cellStyle name="貨幣 2 2 2 5 2 2 2" xfId="675" xr:uid="{04427BBF-1E1E-49FB-B5F6-5DFF29DC1A1B}"/>
    <cellStyle name="貨幣 2 2 2 5 2 2 3" xfId="1011" xr:uid="{9A176F3A-897B-4668-BF73-74056FC23587}"/>
    <cellStyle name="貨幣 2 2 2 5 2 3" xfId="479" xr:uid="{C5E797FC-3AE9-4473-A47D-D5AA5F899D0D}"/>
    <cellStyle name="貨幣 2 2 2 5 2 4" xfId="815" xr:uid="{BA8A4A43-B41C-4661-BA50-BA7D86215B8E}"/>
    <cellStyle name="貨幣 2 2 2 5 3" xfId="267" xr:uid="{76B70FD9-6CB1-409D-AAFF-E262D52605C6}"/>
    <cellStyle name="貨幣 2 2 2 5 3 2" xfId="611" xr:uid="{92CCAD5A-734D-41BF-8741-B8E30AFE2D25}"/>
    <cellStyle name="貨幣 2 2 2 5 3 3" xfId="947" xr:uid="{DF2B1B88-B9BE-4A0E-84FC-9AF86084E810}"/>
    <cellStyle name="貨幣 2 2 2 5 4" xfId="415" xr:uid="{F744097A-901F-4576-9D3D-0C1FF8689E6B}"/>
    <cellStyle name="貨幣 2 2 2 5 5" xfId="751" xr:uid="{8C2B3082-2BDE-4D3E-A2CF-50D04BEC128A}"/>
    <cellStyle name="貨幣 2 2 2 6" xfId="147" xr:uid="{C9C89031-AF9B-4D97-92D7-D2DD084E9CDD}"/>
    <cellStyle name="貨幣 2 2 2 6 2" xfId="343" xr:uid="{D55B2F15-CEA3-4705-98A9-B0CA79EA7429}"/>
    <cellStyle name="貨幣 2 2 2 6 2 2" xfId="687" xr:uid="{5C2E3AFE-BA6D-443D-9760-2914BAD0C608}"/>
    <cellStyle name="貨幣 2 2 2 6 2 3" xfId="1023" xr:uid="{77E6A21D-5F5B-4C10-B409-59E003922749}"/>
    <cellStyle name="貨幣 2 2 2 6 3" xfId="491" xr:uid="{8ADC9F02-0C07-4B49-8D96-E65E93FBF744}"/>
    <cellStyle name="貨幣 2 2 2 6 4" xfId="827" xr:uid="{EDA8AE0B-5D7B-449A-8289-C6CE98EE527E}"/>
    <cellStyle name="貨幣 2 2 2 7" xfId="82" xr:uid="{D5899057-DA69-41CD-B278-FFB2352183D7}"/>
    <cellStyle name="貨幣 2 2 2 7 2" xfId="279" xr:uid="{F09FA825-831E-4957-8F02-9527E3BC5DD2}"/>
    <cellStyle name="貨幣 2 2 2 7 2 2" xfId="623" xr:uid="{7982A269-4658-4D15-BAF5-212DFBA515C1}"/>
    <cellStyle name="貨幣 2 2 2 7 2 3" xfId="959" xr:uid="{B9E88DAA-7A50-4E9D-BE57-D06948C5E670}"/>
    <cellStyle name="貨幣 2 2 2 7 3" xfId="427" xr:uid="{71B23345-8A55-4E1C-901F-C309F894F2A6}"/>
    <cellStyle name="貨幣 2 2 2 7 4" xfId="763" xr:uid="{29BAA500-B13C-4B7A-A331-76CAA11F6C3A}"/>
    <cellStyle name="貨幣 2 2 2 8" xfId="155" xr:uid="{18638518-7120-4CAC-9125-5EB4660BE6D4}"/>
    <cellStyle name="貨幣 2 2 2 8 2" xfId="499" xr:uid="{CF44C88F-A5FF-488E-A2AB-4677D485F1E3}"/>
    <cellStyle name="貨幣 2 2 2 8 3" xfId="835" xr:uid="{F7154B16-B2AD-45F1-9FFD-E28A3A90F5B9}"/>
    <cellStyle name="貨幣 2 2 2 9" xfId="215" xr:uid="{88DB0263-A9B4-4C5E-8C49-B69DB086B8F3}"/>
    <cellStyle name="貨幣 2 2 2 9 2" xfId="559" xr:uid="{DEA7A3BE-B18D-4AC9-97D7-4BE2611011B2}"/>
    <cellStyle name="貨幣 2 2 2 9 3" xfId="895" xr:uid="{D601D4D8-3058-43F4-A801-4A6984E70403}"/>
    <cellStyle name="貨幣 2 2 3" xfId="13" xr:uid="{9C876927-8A03-40DA-8847-9F9CBDAAFFA3}"/>
    <cellStyle name="貨幣 2 2 3 2" xfId="34" xr:uid="{0C01E979-A16A-47D4-8B9B-F4A26022030C}"/>
    <cellStyle name="貨幣 2 2 3 2 2" xfId="98" xr:uid="{9A53DD68-48B5-4D0C-9461-87D2F9713402}"/>
    <cellStyle name="貨幣 2 2 3 2 2 2" xfId="295" xr:uid="{0DB8BF7C-4F09-4042-80C3-419E1BD7BE2D}"/>
    <cellStyle name="貨幣 2 2 3 2 2 2 2" xfId="639" xr:uid="{C52277DB-96B7-4DE5-A3A5-E2090373BF08}"/>
    <cellStyle name="貨幣 2 2 3 2 2 2 3" xfId="975" xr:uid="{44C50C4D-A969-4C9B-987A-D0D88266B26A}"/>
    <cellStyle name="貨幣 2 2 3 2 2 3" xfId="443" xr:uid="{826951D3-5130-4122-ACCE-72FD8DBF0C00}"/>
    <cellStyle name="貨幣 2 2 3 2 2 4" xfId="779" xr:uid="{FCC5C2DC-FB63-4A7F-9520-791B2D800B94}"/>
    <cellStyle name="貨幣 2 2 3 2 3" xfId="199" xr:uid="{4BD9EF26-B585-4206-BB90-5F3F297BB4AF}"/>
    <cellStyle name="貨幣 2 2 3 2 3 2" xfId="543" xr:uid="{FB332DA9-57DF-4604-A4EB-1E2F2C21AF4A}"/>
    <cellStyle name="貨幣 2 2 3 2 3 3" xfId="879" xr:uid="{9D666801-73E2-4BBC-BDFF-7FD5CAE091A4}"/>
    <cellStyle name="貨幣 2 2 3 2 4" xfId="231" xr:uid="{BE8B072E-8463-45CC-8190-D7726EA8FEE0}"/>
    <cellStyle name="貨幣 2 2 3 2 4 2" xfId="575" xr:uid="{09592E72-B18C-48A6-90F0-2CEDDD7EA212}"/>
    <cellStyle name="貨幣 2 2 3 2 4 3" xfId="911" xr:uid="{76DCE232-4075-433A-A6D7-E3AABB81DEAB}"/>
    <cellStyle name="貨幣 2 2 3 2 5" xfId="379" xr:uid="{7DF8BFEF-A1CE-478E-9965-C46EE727327A}"/>
    <cellStyle name="貨幣 2 2 3 2 6" xfId="715" xr:uid="{3EB9FD63-B284-4D54-BE07-9B6EE6E97997}"/>
    <cellStyle name="貨幣 2 2 3 3" xfId="50" xr:uid="{F0E6A510-81B9-499D-AB49-F1483795380F}"/>
    <cellStyle name="貨幣 2 2 3 3 2" xfId="114" xr:uid="{33169F9F-E5C4-4DFB-BAED-E1A82F3311FB}"/>
    <cellStyle name="貨幣 2 2 3 3 2 2" xfId="311" xr:uid="{85DC77E7-B4BC-45BA-A3FA-4ED7E6BBE1DD}"/>
    <cellStyle name="貨幣 2 2 3 3 2 2 2" xfId="655" xr:uid="{F4AF468F-B497-4640-AF40-8FBFBE289478}"/>
    <cellStyle name="貨幣 2 2 3 3 2 2 3" xfId="991" xr:uid="{E836453C-62F0-4709-B7B7-1901C00D4E33}"/>
    <cellStyle name="貨幣 2 2 3 3 2 3" xfId="459" xr:uid="{539B3AE1-AD7F-441E-8526-1A8488FA3A6F}"/>
    <cellStyle name="貨幣 2 2 3 3 2 4" xfId="795" xr:uid="{7B663B50-599D-47C3-AFA7-0CD7CBD1AEEA}"/>
    <cellStyle name="貨幣 2 2 3 3 3" xfId="183" xr:uid="{02A4F8CB-A823-4021-8280-880AB8F7FBEA}"/>
    <cellStyle name="貨幣 2 2 3 3 3 2" xfId="527" xr:uid="{17126572-313D-4E8B-B25F-AF37F8809C27}"/>
    <cellStyle name="貨幣 2 2 3 3 3 3" xfId="863" xr:uid="{E50C540B-70FA-4D80-8EF7-C7788FA4B6F4}"/>
    <cellStyle name="貨幣 2 2 3 3 4" xfId="247" xr:uid="{E1421ED2-5CB9-40F3-8B03-783B48CF1B4F}"/>
    <cellStyle name="貨幣 2 2 3 3 4 2" xfId="591" xr:uid="{3599E78B-83B8-4E95-A47C-A11EDDC8FC51}"/>
    <cellStyle name="貨幣 2 2 3 3 4 3" xfId="927" xr:uid="{59C28AAE-6FD5-417C-BCA2-D3F223CA4C8F}"/>
    <cellStyle name="貨幣 2 2 3 3 5" xfId="395" xr:uid="{C15CB594-C584-436D-A6DB-56DBD5258675}"/>
    <cellStyle name="貨幣 2 2 3 3 6" xfId="731" xr:uid="{0ADDC7B6-F468-4591-985C-A694F90740B1}"/>
    <cellStyle name="貨幣 2 2 3 4" xfId="143" xr:uid="{A47CA859-2D18-4B38-BF2A-2C4B88E87105}"/>
    <cellStyle name="貨幣 2 2 3 4 2" xfId="339" xr:uid="{18F551A2-E2BF-4423-8918-1D8F9745033F}"/>
    <cellStyle name="貨幣 2 2 3 4 2 2" xfId="683" xr:uid="{7EFC9D4C-3E58-4BA0-8515-9F17D8E49644}"/>
    <cellStyle name="貨幣 2 2 3 4 2 3" xfId="1019" xr:uid="{5B0766D7-ED56-47A1-94BA-C8502AD56D21}"/>
    <cellStyle name="貨幣 2 2 3 4 3" xfId="487" xr:uid="{60A964A3-B763-4C4B-9B66-4A382ABB511D}"/>
    <cellStyle name="貨幣 2 2 3 4 4" xfId="823" xr:uid="{DF66FA6D-E918-4028-9730-CDD588EA742A}"/>
    <cellStyle name="貨幣 2 2 3 5" xfId="78" xr:uid="{0F44E38A-A883-42D6-9BB7-BD37DD3D415E}"/>
    <cellStyle name="貨幣 2 2 3 5 2" xfId="275" xr:uid="{9E22018D-74E0-42DC-B7ED-2A9F880C7708}"/>
    <cellStyle name="貨幣 2 2 3 5 2 2" xfId="619" xr:uid="{A741B89F-FEC4-4092-B833-96B185DA6635}"/>
    <cellStyle name="貨幣 2 2 3 5 2 3" xfId="955" xr:uid="{B90A9063-96EB-4CB6-AE4D-F6CCF92C4934}"/>
    <cellStyle name="貨幣 2 2 3 5 3" xfId="423" xr:uid="{70102134-7D2F-47C6-A7E4-3544C26ECA52}"/>
    <cellStyle name="貨幣 2 2 3 5 4" xfId="759" xr:uid="{DA39DD50-8434-4FF0-B920-63F766107845}"/>
    <cellStyle name="貨幣 2 2 3 6" xfId="167" xr:uid="{FCD47995-3E3C-4E7F-A248-A89B20844015}"/>
    <cellStyle name="貨幣 2 2 3 6 2" xfId="511" xr:uid="{20D0E731-A823-485C-9CA7-3E80A535622C}"/>
    <cellStyle name="貨幣 2 2 3 6 3" xfId="847" xr:uid="{706E085A-4EE9-4E46-B847-D91DD3EE0A52}"/>
    <cellStyle name="貨幣 2 2 3 7" xfId="211" xr:uid="{662B69C5-5728-492E-B66A-E5CEDDD9C7F6}"/>
    <cellStyle name="貨幣 2 2 3 7 2" xfId="555" xr:uid="{795C8ECE-779F-4DA3-AC21-25F997AF8FC1}"/>
    <cellStyle name="貨幣 2 2 3 7 3" xfId="891" xr:uid="{97BD2F40-CEF0-4F58-951F-56BC7A86BC23}"/>
    <cellStyle name="貨幣 2 2 3 8" xfId="359" xr:uid="{8B53A6DF-139A-426D-B99F-0312CFEC78E4}"/>
    <cellStyle name="貨幣 2 2 3 9" xfId="695" xr:uid="{D553CD38-DA9B-4125-854C-A779FA55A01D}"/>
    <cellStyle name="貨幣 2 2 4" xfId="26" xr:uid="{6CE3E2F2-3277-4D14-8AA9-0A7A7284FAF7}"/>
    <cellStyle name="貨幣 2 2 4 2" xfId="58" xr:uid="{0E06C3F5-789B-4E86-BA31-A92B86D386B5}"/>
    <cellStyle name="貨幣 2 2 4 2 2" xfId="122" xr:uid="{51B3FAF5-EDF0-45C9-8BDB-11CD637CCA1B}"/>
    <cellStyle name="貨幣 2 2 4 2 2 2" xfId="319" xr:uid="{502142B3-FCC9-4E51-9C62-B75059589C6B}"/>
    <cellStyle name="貨幣 2 2 4 2 2 2 2" xfId="663" xr:uid="{15E6A2FA-132E-4BC1-8448-CDD535B06F68}"/>
    <cellStyle name="貨幣 2 2 4 2 2 2 3" xfId="999" xr:uid="{44CEF000-6134-465A-AE6D-FBF3C19D8ECB}"/>
    <cellStyle name="貨幣 2 2 4 2 2 3" xfId="467" xr:uid="{E520D899-3B9F-4E90-9FAF-DC687AC004F4}"/>
    <cellStyle name="貨幣 2 2 4 2 2 4" xfId="803" xr:uid="{2A77420D-20E0-47F6-9DA5-A3B131F6F3D2}"/>
    <cellStyle name="貨幣 2 2 4 2 3" xfId="191" xr:uid="{3ADB98ED-18A4-471F-8B61-1A325F4A283C}"/>
    <cellStyle name="貨幣 2 2 4 2 3 2" xfId="535" xr:uid="{081D08FA-0404-4B7A-9451-300B1A90DF52}"/>
    <cellStyle name="貨幣 2 2 4 2 3 3" xfId="871" xr:uid="{05C68951-B03E-47F9-8FBC-797FA776D651}"/>
    <cellStyle name="貨幣 2 2 4 2 4" xfId="255" xr:uid="{E20E6BB6-B9AC-43C5-A4DE-2D7FEB4B5DCD}"/>
    <cellStyle name="貨幣 2 2 4 2 4 2" xfId="599" xr:uid="{3FE94067-2ABF-48F3-9361-499A9F6E9485}"/>
    <cellStyle name="貨幣 2 2 4 2 4 3" xfId="935" xr:uid="{68776FE8-7196-438A-AEC0-D39C7D7704A0}"/>
    <cellStyle name="貨幣 2 2 4 2 5" xfId="403" xr:uid="{153D7D4C-54A0-432F-9C36-0813FE7C7AF0}"/>
    <cellStyle name="貨幣 2 2 4 2 6" xfId="739" xr:uid="{05A0CAC3-A91B-4414-AA2C-6AC815A9C447}"/>
    <cellStyle name="貨幣 2 2 4 3" xfId="90" xr:uid="{DE1F28E5-D3C4-46A2-B678-2B3B56F153D0}"/>
    <cellStyle name="貨幣 2 2 4 3 2" xfId="287" xr:uid="{1085F5E0-55A6-44B0-8B05-A055E3CD8C38}"/>
    <cellStyle name="貨幣 2 2 4 3 2 2" xfId="631" xr:uid="{7A9E3F85-9A4A-4EC0-A6D7-CC9483FB2E7D}"/>
    <cellStyle name="貨幣 2 2 4 3 2 3" xfId="967" xr:uid="{57522343-BC06-47AB-BD4F-AAED4CE5E28C}"/>
    <cellStyle name="貨幣 2 2 4 3 3" xfId="435" xr:uid="{B70B0735-A523-4CFF-81B4-867F05E48D19}"/>
    <cellStyle name="貨幣 2 2 4 3 4" xfId="771" xr:uid="{31662949-DD51-4B7F-8071-AB0AC033E7DB}"/>
    <cellStyle name="貨幣 2 2 4 4" xfId="159" xr:uid="{ED49FF22-4753-4739-B00B-EEB4DEF5D5E4}"/>
    <cellStyle name="貨幣 2 2 4 4 2" xfId="503" xr:uid="{AF832F3A-E2B2-4BDB-90AE-FBF1A46D542E}"/>
    <cellStyle name="貨幣 2 2 4 4 3" xfId="839" xr:uid="{5B526312-4AF0-4499-B9D4-AB84A63C538F}"/>
    <cellStyle name="貨幣 2 2 4 5" xfId="223" xr:uid="{88D8E069-D6A3-4110-8DED-CA3EAE05B295}"/>
    <cellStyle name="貨幣 2 2 4 5 2" xfId="567" xr:uid="{FDFD9B61-37CE-4722-B217-AEB7092CC1AB}"/>
    <cellStyle name="貨幣 2 2 4 5 3" xfId="903" xr:uid="{F5EE1731-ADD3-45AE-9F17-40CFED7C0906}"/>
    <cellStyle name="貨幣 2 2 4 6" xfId="371" xr:uid="{3B0A0CF0-84BC-4533-9322-27987FFBF457}"/>
    <cellStyle name="貨幣 2 2 4 7" xfId="707" xr:uid="{CD8096A3-B179-4168-89C4-0E8BE599767B}"/>
    <cellStyle name="貨幣 2 2 5" xfId="42" xr:uid="{E3736F93-7039-4A10-B1F0-FAC4F4287DA6}"/>
    <cellStyle name="貨幣 2 2 5 2" xfId="106" xr:uid="{7887659B-E210-48AD-B155-A1C39EF87AF2}"/>
    <cellStyle name="貨幣 2 2 5 2 2" xfId="303" xr:uid="{3F194472-8BBB-4158-8DCE-142DDE059CB4}"/>
    <cellStyle name="貨幣 2 2 5 2 2 2" xfId="647" xr:uid="{72499C45-F0CC-4EEF-9E6C-CFD5138782FF}"/>
    <cellStyle name="貨幣 2 2 5 2 2 3" xfId="983" xr:uid="{3E91582A-A6B0-4C42-8427-CF7C024B0418}"/>
    <cellStyle name="貨幣 2 2 5 2 3" xfId="451" xr:uid="{B6438D7C-05A7-4A55-9541-9DD8B262D4E8}"/>
    <cellStyle name="貨幣 2 2 5 2 4" xfId="787" xr:uid="{54DF476A-B366-48E3-AAC2-A5553202E10B}"/>
    <cellStyle name="貨幣 2 2 5 3" xfId="175" xr:uid="{9202AFD9-EEE2-4A23-9B69-F3502653F88E}"/>
    <cellStyle name="貨幣 2 2 5 3 2" xfId="519" xr:uid="{D2667908-D284-431C-87BE-033207ACEC8D}"/>
    <cellStyle name="貨幣 2 2 5 3 3" xfId="855" xr:uid="{BB366046-6E36-45F2-8C88-56A2F55E52B2}"/>
    <cellStyle name="貨幣 2 2 5 4" xfId="239" xr:uid="{A4512585-A8E0-46B9-A8C8-DCAA942E0C93}"/>
    <cellStyle name="貨幣 2 2 5 4 2" xfId="583" xr:uid="{1B9E3F57-7E0F-42F8-A32F-625AEF474290}"/>
    <cellStyle name="貨幣 2 2 5 4 3" xfId="919" xr:uid="{30F9BFBC-8298-4C3A-8998-E474420672BB}"/>
    <cellStyle name="貨幣 2 2 5 5" xfId="387" xr:uid="{066B3E44-EF6B-4F14-8B96-7C0E8BB60188}"/>
    <cellStyle name="貨幣 2 2 5 6" xfId="723" xr:uid="{D86F4B39-FF4D-44CC-95E9-19A9411C35A0}"/>
    <cellStyle name="貨幣 2 2 6" xfId="66" xr:uid="{07C47CE9-E038-4252-9074-8F633597072F}"/>
    <cellStyle name="貨幣 2 2 6 2" xfId="130" xr:uid="{3D2904AB-C6C3-4ABE-AB5E-E3484599DC58}"/>
    <cellStyle name="貨幣 2 2 6 2 2" xfId="327" xr:uid="{A1AECFEF-1840-4FA2-9502-79BE3946D634}"/>
    <cellStyle name="貨幣 2 2 6 2 2 2" xfId="671" xr:uid="{8983693A-9D94-40C8-8B9E-F74425DA99BF}"/>
    <cellStyle name="貨幣 2 2 6 2 2 3" xfId="1007" xr:uid="{26B94392-BF71-4A4A-AB87-E6672059FFEA}"/>
    <cellStyle name="貨幣 2 2 6 2 3" xfId="475" xr:uid="{5095DCAA-F6DA-4A4C-A9DF-3CC0959102A1}"/>
    <cellStyle name="貨幣 2 2 6 2 4" xfId="811" xr:uid="{4D2B6507-A80E-45B0-84E2-E218D1299D40}"/>
    <cellStyle name="貨幣 2 2 6 3" xfId="263" xr:uid="{582D8E88-B44A-475D-8B65-A0F2F6D196EA}"/>
    <cellStyle name="貨幣 2 2 6 3 2" xfId="607" xr:uid="{43293180-AB8B-4514-B545-54A043DBD181}"/>
    <cellStyle name="貨幣 2 2 6 3 3" xfId="943" xr:uid="{8B231465-D9FE-476A-A29B-9796E1D95C72}"/>
    <cellStyle name="貨幣 2 2 6 4" xfId="411" xr:uid="{C8C82CF9-0AEA-497E-9497-396EA49DA512}"/>
    <cellStyle name="貨幣 2 2 6 5" xfId="747" xr:uid="{03E57D0E-6D83-495F-9C12-22A069D79CCA}"/>
    <cellStyle name="貨幣 2 2 7" xfId="139" xr:uid="{FB8CB446-B78C-467A-85BB-B457210CC37F}"/>
    <cellStyle name="貨幣 2 2 7 2" xfId="335" xr:uid="{92473ED9-D669-411C-8496-B94043ACD5FF}"/>
    <cellStyle name="貨幣 2 2 7 2 2" xfId="679" xr:uid="{3965DB37-C105-48BC-9900-A03986977EDE}"/>
    <cellStyle name="貨幣 2 2 7 2 3" xfId="1015" xr:uid="{2F7BEE0A-1EFA-418B-93ED-55A38C47E3A7}"/>
    <cellStyle name="貨幣 2 2 7 3" xfId="483" xr:uid="{E8800023-3EA2-4C9B-B77E-33D202CADB39}"/>
    <cellStyle name="貨幣 2 2 7 4" xfId="819" xr:uid="{01E34272-820A-4FC5-B794-777435102250}"/>
    <cellStyle name="貨幣 2 2 8" xfId="74" xr:uid="{501905C5-FF3E-4B44-B4C6-08D822F14160}"/>
    <cellStyle name="貨幣 2 2 8 2" xfId="271" xr:uid="{F09001CA-B468-41B7-937F-16D31F1F55D9}"/>
    <cellStyle name="貨幣 2 2 8 2 2" xfId="615" xr:uid="{B7924FE0-2F9F-4806-B157-395BEAE87846}"/>
    <cellStyle name="貨幣 2 2 8 2 3" xfId="951" xr:uid="{B8F2D12C-4F74-4568-81F5-04F00F5984D0}"/>
    <cellStyle name="貨幣 2 2 8 3" xfId="419" xr:uid="{8F27CB76-270D-4140-A674-40868F57C0E6}"/>
    <cellStyle name="貨幣 2 2 8 4" xfId="755" xr:uid="{F12A97BB-7269-41CB-8A54-790DF61E6AA0}"/>
    <cellStyle name="貨幣 2 2 9" xfId="151" xr:uid="{FFE44E64-AC75-4078-AD87-9236206F0DC7}"/>
    <cellStyle name="貨幣 2 2 9 2" xfId="495" xr:uid="{EF9A4733-1FA3-4C53-8E0F-45D55603F9BF}"/>
    <cellStyle name="貨幣 2 2 9 3" xfId="831" xr:uid="{56EDFD05-44BB-47D6-9D1F-CEE164A2D032}"/>
    <cellStyle name="貨幣 2 3" xfId="15" xr:uid="{D1856434-C83C-4294-8EEC-BBA1BC7229DD}"/>
    <cellStyle name="貨幣 2 3 10" xfId="349" xr:uid="{360EF3E8-6CD3-4BDF-83CC-E2E574B454B3}"/>
    <cellStyle name="貨幣 2 3 10 2" xfId="1029" xr:uid="{3CCF9916-0ED6-4E64-90A5-A54E766FC164}"/>
    <cellStyle name="貨幣 2 3 11" xfId="361" xr:uid="{4A845FAB-3918-4CA9-921F-B1855B2219B6}"/>
    <cellStyle name="貨幣 2 3 12" xfId="697" xr:uid="{7E4FF2D2-B66A-4DF8-B2DF-0A8C7C895C3E}"/>
    <cellStyle name="貨幣 2 3 2" xfId="20" xr:uid="{CCC46BB9-DC4C-456D-88C0-5B726B3A68F2}"/>
    <cellStyle name="貨幣 2 3 2 2" xfId="36" xr:uid="{D79BC962-3DE5-43D0-8CDC-7DBD2065269A}"/>
    <cellStyle name="貨幣 2 3 2 2 2" xfId="100" xr:uid="{98B7ACB9-9BFE-4187-AA9C-486DB81FC1A9}"/>
    <cellStyle name="貨幣 2 3 2 2 2 2" xfId="297" xr:uid="{99861C16-12A8-41C5-9D1F-104B219FEECB}"/>
    <cellStyle name="貨幣 2 3 2 2 2 2 2" xfId="641" xr:uid="{33B5972D-3D14-4FAB-AA45-DCADA46B04BE}"/>
    <cellStyle name="貨幣 2 3 2 2 2 2 3" xfId="977" xr:uid="{F514C534-C2B4-49A8-93D0-54215CCD3699}"/>
    <cellStyle name="貨幣 2 3 2 2 2 3" xfId="445" xr:uid="{96730284-E48C-4856-B9E4-D00C57ADB1D0}"/>
    <cellStyle name="貨幣 2 3 2 2 2 4" xfId="781" xr:uid="{D139A907-B328-4978-A0BA-85E9F7AA6F9B}"/>
    <cellStyle name="貨幣 2 3 2 2 3" xfId="201" xr:uid="{EF20C9B0-8374-4ED0-BF2E-426E3E434D0F}"/>
    <cellStyle name="貨幣 2 3 2 2 3 2" xfId="545" xr:uid="{3610AC45-D2A3-4272-9D6D-8DA83AC006E4}"/>
    <cellStyle name="貨幣 2 3 2 2 3 3" xfId="881" xr:uid="{DAAC4A6B-2E9B-4932-AA7E-EDC39A08FE71}"/>
    <cellStyle name="貨幣 2 3 2 2 4" xfId="233" xr:uid="{80171A69-D482-46F9-85B9-C34ED06AF973}"/>
    <cellStyle name="貨幣 2 3 2 2 4 2" xfId="577" xr:uid="{1F74E536-67FD-4EF4-93FF-B0C74CAD475E}"/>
    <cellStyle name="貨幣 2 3 2 2 4 3" xfId="913" xr:uid="{FBD70AA9-009F-43F3-823C-905FA866F978}"/>
    <cellStyle name="貨幣 2 3 2 2 5" xfId="381" xr:uid="{16626852-E12B-46AA-8C61-B8AE7B7E942D}"/>
    <cellStyle name="貨幣 2 3 2 2 6" xfId="717" xr:uid="{A7001590-FFAE-4F83-A7CD-15A502EF8157}"/>
    <cellStyle name="貨幣 2 3 2 3" xfId="52" xr:uid="{A98C0110-19C6-40B0-A7CE-E51C22AC08C3}"/>
    <cellStyle name="貨幣 2 3 2 3 2" xfId="116" xr:uid="{15BA29AC-3888-493E-8F55-ADCE49ABA226}"/>
    <cellStyle name="貨幣 2 3 2 3 2 2" xfId="313" xr:uid="{4428ED98-61AA-4E75-A270-6EF13F8D6C97}"/>
    <cellStyle name="貨幣 2 3 2 3 2 2 2" xfId="657" xr:uid="{06449434-9CD7-43A4-B13E-A990943EBEFD}"/>
    <cellStyle name="貨幣 2 3 2 3 2 2 3" xfId="993" xr:uid="{E5EA4BFB-EE3D-48E4-BD0C-3A9EAE2FF0DA}"/>
    <cellStyle name="貨幣 2 3 2 3 2 3" xfId="461" xr:uid="{DC256F4A-7543-4499-A7AE-15DC11A1BE67}"/>
    <cellStyle name="貨幣 2 3 2 3 2 4" xfId="797" xr:uid="{E875FFFF-DE05-4BDD-948A-2A1343C1ADB6}"/>
    <cellStyle name="貨幣 2 3 2 3 3" xfId="185" xr:uid="{8363EA70-B234-4FCA-9712-2B0A670FA4B3}"/>
    <cellStyle name="貨幣 2 3 2 3 3 2" xfId="529" xr:uid="{4668B447-7EE9-42C6-9BAC-79DCA217453D}"/>
    <cellStyle name="貨幣 2 3 2 3 3 3" xfId="865" xr:uid="{18F70095-B2E0-480D-8401-DCF07EECB895}"/>
    <cellStyle name="貨幣 2 3 2 3 4" xfId="249" xr:uid="{FB22A64D-48F3-48D8-A628-9B29D0359C65}"/>
    <cellStyle name="貨幣 2 3 2 3 4 2" xfId="593" xr:uid="{DB6DEE73-157C-4A04-9382-4BCAA49483CC}"/>
    <cellStyle name="貨幣 2 3 2 3 4 3" xfId="929" xr:uid="{A65F185E-9D34-44DD-B18C-6EE42C0F0485}"/>
    <cellStyle name="貨幣 2 3 2 3 5" xfId="397" xr:uid="{3195A1B9-7EEE-4526-AC76-B3D9FAE8F246}"/>
    <cellStyle name="貨幣 2 3 2 3 6" xfId="733" xr:uid="{85D45EBC-AB0A-4C8A-9A15-C3ADFEF2167D}"/>
    <cellStyle name="貨幣 2 3 2 4" xfId="84" xr:uid="{8D1ADC3F-B2E9-4A96-9CA0-28A29DC671DB}"/>
    <cellStyle name="貨幣 2 3 2 4 2" xfId="281" xr:uid="{21FBA8DB-E786-40B4-BE7E-F4E718780CF7}"/>
    <cellStyle name="貨幣 2 3 2 4 2 2" xfId="625" xr:uid="{C72816A7-E2A5-485F-BD46-EFA4C86F13F3}"/>
    <cellStyle name="貨幣 2 3 2 4 2 3" xfId="961" xr:uid="{66266A4F-6510-4F27-B5F9-17A06E9F9A9B}"/>
    <cellStyle name="貨幣 2 3 2 4 3" xfId="429" xr:uid="{32074CA2-1BCD-4854-A93A-962F1202B7B5}"/>
    <cellStyle name="貨幣 2 3 2 4 4" xfId="765" xr:uid="{548CAFF3-A13B-4B3F-85AA-3E322BC030A4}"/>
    <cellStyle name="貨幣 2 3 2 5" xfId="169" xr:uid="{5FF74719-9CC7-40DC-AAAE-7791876D8E23}"/>
    <cellStyle name="貨幣 2 3 2 5 2" xfId="513" xr:uid="{BA790BD8-B3C2-4115-BF61-DA9C5B411817}"/>
    <cellStyle name="貨幣 2 3 2 5 3" xfId="849" xr:uid="{867B0AA3-1A81-4DA5-83B4-710E32415751}"/>
    <cellStyle name="貨幣 2 3 2 6" xfId="217" xr:uid="{7CF68209-D341-4020-A300-3A753738BFAD}"/>
    <cellStyle name="貨幣 2 3 2 6 2" xfId="561" xr:uid="{DBB1885E-BE1E-4D13-9127-F349EBBE1440}"/>
    <cellStyle name="貨幣 2 3 2 6 3" xfId="897" xr:uid="{EFB666EC-7E6D-4253-9BB6-AAF8D88D55B8}"/>
    <cellStyle name="貨幣 2 3 2 7" xfId="365" xr:uid="{4E8F10D6-5162-4245-826F-F61417284776}"/>
    <cellStyle name="貨幣 2 3 2 8" xfId="701" xr:uid="{FA0D6863-58E1-4601-8608-5EBADCA03DFF}"/>
    <cellStyle name="貨幣 2 3 3" xfId="28" xr:uid="{4C0FA771-0683-4A30-A612-0AC5D415D3C2}"/>
    <cellStyle name="貨幣 2 3 3 2" xfId="60" xr:uid="{43E7BFF6-5DED-4826-842D-DC809B58FE55}"/>
    <cellStyle name="貨幣 2 3 3 2 2" xfId="124" xr:uid="{2D6AE2F8-7BF2-4F6B-A382-E3B5750305E0}"/>
    <cellStyle name="貨幣 2 3 3 2 2 2" xfId="321" xr:uid="{76ED7F72-E8F4-4446-BC77-A9AC4967BDEA}"/>
    <cellStyle name="貨幣 2 3 3 2 2 2 2" xfId="665" xr:uid="{81BCAE5B-916C-431F-B0A9-F35DB99ECE38}"/>
    <cellStyle name="貨幣 2 3 3 2 2 2 3" xfId="1001" xr:uid="{F8ACF7CF-C716-4070-A281-DDBDBAC50F90}"/>
    <cellStyle name="貨幣 2 3 3 2 2 3" xfId="469" xr:uid="{F7622C51-67A3-4DD0-9C44-AEFD7CE78363}"/>
    <cellStyle name="貨幣 2 3 3 2 2 4" xfId="805" xr:uid="{FA0E2AAC-CFB0-4037-81A7-4C2F17701D1E}"/>
    <cellStyle name="貨幣 2 3 3 2 3" xfId="193" xr:uid="{4D919817-0C51-498D-AE9A-912B9C096819}"/>
    <cellStyle name="貨幣 2 3 3 2 3 2" xfId="537" xr:uid="{6B8C8AB1-00B6-4A78-8EC2-0DDD0ECDDB25}"/>
    <cellStyle name="貨幣 2 3 3 2 3 3" xfId="873" xr:uid="{1F8E3AA2-ABD3-4E47-904B-F571CBABBDD7}"/>
    <cellStyle name="貨幣 2 3 3 2 4" xfId="257" xr:uid="{062C8212-A6CE-4858-9A96-CEB2A0C53A7E}"/>
    <cellStyle name="貨幣 2 3 3 2 4 2" xfId="601" xr:uid="{9798D175-5738-41CF-9DBA-CAA000AEE934}"/>
    <cellStyle name="貨幣 2 3 3 2 4 3" xfId="937" xr:uid="{8BBA3EC7-9A25-46D1-AE71-DF04201C9EDC}"/>
    <cellStyle name="貨幣 2 3 3 2 5" xfId="405" xr:uid="{B8AF60AC-EA88-4C1A-A96E-D0CFD8B21B37}"/>
    <cellStyle name="貨幣 2 3 3 2 6" xfId="741" xr:uid="{A6BBE3C5-C055-44BA-9939-1C1D90624281}"/>
    <cellStyle name="貨幣 2 3 3 3" xfId="92" xr:uid="{BA5E7573-0732-4708-8ACE-2A93D3631AC1}"/>
    <cellStyle name="貨幣 2 3 3 3 2" xfId="289" xr:uid="{72B05629-CD69-4E3F-BB2A-24544EA92B14}"/>
    <cellStyle name="貨幣 2 3 3 3 2 2" xfId="633" xr:uid="{F6FAAACC-2442-4F97-8ADF-3F60C4DE7FFF}"/>
    <cellStyle name="貨幣 2 3 3 3 2 3" xfId="969" xr:uid="{915E2CEE-EF2D-4E0C-AB8D-360A49291EAB}"/>
    <cellStyle name="貨幣 2 3 3 3 3" xfId="437" xr:uid="{9C662930-B253-42F3-81C0-C79F1E1E8E8D}"/>
    <cellStyle name="貨幣 2 3 3 3 4" xfId="773" xr:uid="{4A7F0EB4-B115-4318-A0C3-5C5BE28340BE}"/>
    <cellStyle name="貨幣 2 3 3 4" xfId="161" xr:uid="{BCE2CB76-02A7-44EE-8DD5-DF559CECC639}"/>
    <cellStyle name="貨幣 2 3 3 4 2" xfId="505" xr:uid="{8522ABBC-5322-4C2B-9821-B41200F57A18}"/>
    <cellStyle name="貨幣 2 3 3 4 3" xfId="841" xr:uid="{80C8A221-14D1-45E8-A984-AFE5D055B50A}"/>
    <cellStyle name="貨幣 2 3 3 5" xfId="225" xr:uid="{6DB86619-F702-4D82-A83A-52CE073906A6}"/>
    <cellStyle name="貨幣 2 3 3 5 2" xfId="569" xr:uid="{10AB2644-79BC-4DEA-8B94-1624D0B80E60}"/>
    <cellStyle name="貨幣 2 3 3 5 3" xfId="905" xr:uid="{428B508B-B9EB-42B7-9911-AF4B870AF852}"/>
    <cellStyle name="貨幣 2 3 3 6" xfId="373" xr:uid="{8854AA9B-0DAF-4BA4-82F7-8865DD40339B}"/>
    <cellStyle name="貨幣 2 3 3 7" xfId="709" xr:uid="{E59F03A4-922C-4243-BAEB-9594D0A6558D}"/>
    <cellStyle name="貨幣 2 3 4" xfId="44" xr:uid="{814A0626-2AE6-45C2-8E4E-31738D8BA998}"/>
    <cellStyle name="貨幣 2 3 4 2" xfId="108" xr:uid="{258FEBAB-C38A-4DA7-ABF4-80F01098F1E8}"/>
    <cellStyle name="貨幣 2 3 4 2 2" xfId="305" xr:uid="{7E0C8721-DD34-4B6D-B046-041ECC987AB3}"/>
    <cellStyle name="貨幣 2 3 4 2 2 2" xfId="649" xr:uid="{9D1E8213-677A-4D24-98A8-1F7EB8FC39E9}"/>
    <cellStyle name="貨幣 2 3 4 2 2 3" xfId="985" xr:uid="{4ECC0FCC-5B31-4571-97E7-23CAE42779DC}"/>
    <cellStyle name="貨幣 2 3 4 2 3" xfId="453" xr:uid="{062E4C26-5137-49D9-A89C-7884953F28BD}"/>
    <cellStyle name="貨幣 2 3 4 2 4" xfId="789" xr:uid="{8527D691-8A64-4BD6-B2D6-27A4383D709F}"/>
    <cellStyle name="貨幣 2 3 4 3" xfId="177" xr:uid="{7879CD0B-1159-4E4B-B9DA-EBA9DD5DEAAE}"/>
    <cellStyle name="貨幣 2 3 4 3 2" xfId="521" xr:uid="{B565C1DC-67AA-4F72-9612-12DAA4965482}"/>
    <cellStyle name="貨幣 2 3 4 3 3" xfId="857" xr:uid="{4F5A9DA0-FFCE-415F-8B9A-5E323C03BF8E}"/>
    <cellStyle name="貨幣 2 3 4 4" xfId="241" xr:uid="{FFD31873-EDFC-432F-8F9F-72BA1DBA59E3}"/>
    <cellStyle name="貨幣 2 3 4 4 2" xfId="585" xr:uid="{8173A753-AED7-43E0-BD40-BC78C23B600B}"/>
    <cellStyle name="貨幣 2 3 4 4 3" xfId="921" xr:uid="{0A1B1083-57F7-461A-B89A-A5C71908BB0E}"/>
    <cellStyle name="貨幣 2 3 4 5" xfId="389" xr:uid="{66101F0E-F271-4CD7-87A5-851633572B4E}"/>
    <cellStyle name="貨幣 2 3 4 6" xfId="725" xr:uid="{B93BAC9F-E1F9-4D9A-9189-22A03C63D961}"/>
    <cellStyle name="貨幣 2 3 5" xfId="68" xr:uid="{C8FE41C2-7D96-4DCF-83C4-FF67486455A9}"/>
    <cellStyle name="貨幣 2 3 5 2" xfId="132" xr:uid="{8886535F-8D60-4E0E-AB7D-99FA77226DFA}"/>
    <cellStyle name="貨幣 2 3 5 2 2" xfId="329" xr:uid="{8C802770-C617-4D8E-8EC5-17AA810FF4BF}"/>
    <cellStyle name="貨幣 2 3 5 2 2 2" xfId="673" xr:uid="{46CADB8D-E3A3-44F3-8591-7B28570458F3}"/>
    <cellStyle name="貨幣 2 3 5 2 2 3" xfId="1009" xr:uid="{74E9BDF3-D4D2-4423-9731-4461BC04123B}"/>
    <cellStyle name="貨幣 2 3 5 2 3" xfId="477" xr:uid="{9B1FFA9A-C4B7-4C5E-866C-B06018B95C4E}"/>
    <cellStyle name="貨幣 2 3 5 2 4" xfId="813" xr:uid="{05BABB59-5F71-46CD-A334-E9FFD480F1B2}"/>
    <cellStyle name="貨幣 2 3 5 3" xfId="265" xr:uid="{68FBE1B9-D2B5-45A1-A69D-718F5871CFEB}"/>
    <cellStyle name="貨幣 2 3 5 3 2" xfId="609" xr:uid="{C9FD07CE-77F8-4785-B572-302CC41847A1}"/>
    <cellStyle name="貨幣 2 3 5 3 3" xfId="945" xr:uid="{4C196552-7F1D-4ABC-A442-2ED0F9FB1993}"/>
    <cellStyle name="貨幣 2 3 5 4" xfId="413" xr:uid="{CEC29AA1-A86D-467F-BC7C-25FEB6C64157}"/>
    <cellStyle name="貨幣 2 3 5 5" xfId="749" xr:uid="{73675C95-527C-415E-B56D-131D8928754C}"/>
    <cellStyle name="貨幣 2 3 6" xfId="145" xr:uid="{1A8A5255-7BD4-494A-A870-C72A7D3DF73A}"/>
    <cellStyle name="貨幣 2 3 6 2" xfId="341" xr:uid="{EDB0C335-D57E-41C2-9A71-9DE807809F4B}"/>
    <cellStyle name="貨幣 2 3 6 2 2" xfId="685" xr:uid="{A5461657-1E65-464F-AE79-FBE790683BB8}"/>
    <cellStyle name="貨幣 2 3 6 2 3" xfId="1021" xr:uid="{EEEFB371-8DBD-4EC5-A801-6AA92923E897}"/>
    <cellStyle name="貨幣 2 3 6 3" xfId="489" xr:uid="{01C293AE-2CEA-486A-AA8D-C3E2E938E0BD}"/>
    <cellStyle name="貨幣 2 3 6 4" xfId="825" xr:uid="{8955EB93-B215-4FD1-9FE5-7C20AAC8B0AE}"/>
    <cellStyle name="貨幣 2 3 7" xfId="80" xr:uid="{CF779BF0-408D-4E2F-8FD1-B0ACEDC5CEF4}"/>
    <cellStyle name="貨幣 2 3 7 2" xfId="277" xr:uid="{A7DDB3FE-1CEC-4F9D-8FD4-B884ABB787E0}"/>
    <cellStyle name="貨幣 2 3 7 2 2" xfId="621" xr:uid="{A0993BFB-F47B-4DC0-A1E9-DBC5CDE801CD}"/>
    <cellStyle name="貨幣 2 3 7 2 3" xfId="957" xr:uid="{2FD96533-2E85-4B71-BE28-26F965DC89D8}"/>
    <cellStyle name="貨幣 2 3 7 3" xfId="425" xr:uid="{B9C0234A-F77B-4CC3-B60F-DB6F2E35525C}"/>
    <cellStyle name="貨幣 2 3 7 4" xfId="761" xr:uid="{A6C540DE-52F6-478B-A5DA-483559A52075}"/>
    <cellStyle name="貨幣 2 3 8" xfId="153" xr:uid="{8DB041B6-2E0C-48FD-9DE2-3DEC75D55A51}"/>
    <cellStyle name="貨幣 2 3 8 2" xfId="497" xr:uid="{4C42AB8C-FDBE-40A9-ABB5-6FBAACC1E939}"/>
    <cellStyle name="貨幣 2 3 8 3" xfId="833" xr:uid="{67FC783A-ACDC-46DA-A793-AA5744660E24}"/>
    <cellStyle name="貨幣 2 3 9" xfId="213" xr:uid="{2B14BA9B-ACDA-49E9-8A28-128E9047C96D}"/>
    <cellStyle name="貨幣 2 3 9 2" xfId="557" xr:uid="{8EA3B8E3-FD2D-4D74-A055-653C715BE6FB}"/>
    <cellStyle name="貨幣 2 3 9 3" xfId="893" xr:uid="{A1600EF2-01D1-479C-9B5D-52322EF2C497}"/>
    <cellStyle name="貨幣 2 4" xfId="11" xr:uid="{F5844F78-5003-4486-A917-BABB0121CC1A}"/>
    <cellStyle name="貨幣 2 4 2" xfId="32" xr:uid="{9E8FCE08-1D42-4B7C-B538-AE80DDB61572}"/>
    <cellStyle name="貨幣 2 4 2 2" xfId="96" xr:uid="{9FAEE5D0-B06D-44DA-9370-BBC0F0484482}"/>
    <cellStyle name="貨幣 2 4 2 2 2" xfId="293" xr:uid="{45CCDAEF-41FB-44E3-BA5F-DD4A94A60195}"/>
    <cellStyle name="貨幣 2 4 2 2 2 2" xfId="637" xr:uid="{8C12BEDF-C178-4CBD-8209-EE609906003A}"/>
    <cellStyle name="貨幣 2 4 2 2 2 3" xfId="973" xr:uid="{1D6D83CD-0120-40D8-AD99-9C6F60E49894}"/>
    <cellStyle name="貨幣 2 4 2 2 3" xfId="441" xr:uid="{4251B5A6-5C7A-45B0-ACD8-5D700AD4C85A}"/>
    <cellStyle name="貨幣 2 4 2 2 4" xfId="777" xr:uid="{B3856A3A-9483-4F91-A72F-18079CAFA318}"/>
    <cellStyle name="貨幣 2 4 2 3" xfId="197" xr:uid="{4A11C68D-33C0-4D44-AA29-C21D03EF14DE}"/>
    <cellStyle name="貨幣 2 4 2 3 2" xfId="541" xr:uid="{C7FA8204-6AF2-4C38-AA1A-EF7C71A1F1EF}"/>
    <cellStyle name="貨幣 2 4 2 3 3" xfId="877" xr:uid="{EE59E7C3-A854-4999-BD5B-61F57ABE2988}"/>
    <cellStyle name="貨幣 2 4 2 4" xfId="229" xr:uid="{EC4F6F0E-F72C-4798-9910-47D503E88097}"/>
    <cellStyle name="貨幣 2 4 2 4 2" xfId="573" xr:uid="{A44762E7-7E48-45EF-A6F1-18AA606BEBFE}"/>
    <cellStyle name="貨幣 2 4 2 4 3" xfId="909" xr:uid="{8EC61D2F-798C-4CB5-9765-3ADE9D1D648F}"/>
    <cellStyle name="貨幣 2 4 2 5" xfId="377" xr:uid="{CC2BC326-2060-4DB2-A7F4-8DACCA6583D0}"/>
    <cellStyle name="貨幣 2 4 2 6" xfId="713" xr:uid="{84DC27A6-07EA-417D-9C39-676C240BCD44}"/>
    <cellStyle name="貨幣 2 4 3" xfId="48" xr:uid="{E888DD38-569B-426E-A73F-2E799F763184}"/>
    <cellStyle name="貨幣 2 4 3 2" xfId="112" xr:uid="{6D65067E-E9E0-4C6B-9079-01B9708FBB5A}"/>
    <cellStyle name="貨幣 2 4 3 2 2" xfId="309" xr:uid="{01CC8337-5337-4E0F-81FD-F187ED602F77}"/>
    <cellStyle name="貨幣 2 4 3 2 2 2" xfId="653" xr:uid="{D3198259-7F78-46BB-A688-76DB60BD1617}"/>
    <cellStyle name="貨幣 2 4 3 2 2 3" xfId="989" xr:uid="{E3EB7554-C2DE-4FE4-ACC8-821B604BABC1}"/>
    <cellStyle name="貨幣 2 4 3 2 3" xfId="457" xr:uid="{DDF2D6CE-A6DD-48B7-A8F8-F85A5E44ABF9}"/>
    <cellStyle name="貨幣 2 4 3 2 4" xfId="793" xr:uid="{1FB70AE7-9040-43D9-8F6E-114CE24675B5}"/>
    <cellStyle name="貨幣 2 4 3 3" xfId="181" xr:uid="{21538F5E-3DD1-4E1C-BAA9-F1CFC9F46CC7}"/>
    <cellStyle name="貨幣 2 4 3 3 2" xfId="525" xr:uid="{0C5CE54A-70A2-4423-9B39-106A686FADD1}"/>
    <cellStyle name="貨幣 2 4 3 3 3" xfId="861" xr:uid="{CFC9D346-5156-4A5D-A678-48F2EF849E35}"/>
    <cellStyle name="貨幣 2 4 3 4" xfId="245" xr:uid="{A6CD64DF-A816-4D4C-AF97-5AB30422DE81}"/>
    <cellStyle name="貨幣 2 4 3 4 2" xfId="589" xr:uid="{49D2E0B8-E874-4FE8-A114-F033EB3A6C81}"/>
    <cellStyle name="貨幣 2 4 3 4 3" xfId="925" xr:uid="{3841D265-C9EA-46DD-91B8-F938F3CD0631}"/>
    <cellStyle name="貨幣 2 4 3 5" xfId="393" xr:uid="{471E9825-5940-4DF8-B6BC-025F5D3AC839}"/>
    <cellStyle name="貨幣 2 4 3 6" xfId="729" xr:uid="{C76976D8-A70B-41E4-9DF7-5E2E57D61B8F}"/>
    <cellStyle name="貨幣 2 4 4" xfId="141" xr:uid="{DA6BD6ED-32AD-4363-BD64-D73FF8FAC036}"/>
    <cellStyle name="貨幣 2 4 4 2" xfId="337" xr:uid="{D8E9E80C-925B-4A85-883A-70D57EF8F87E}"/>
    <cellStyle name="貨幣 2 4 4 2 2" xfId="681" xr:uid="{7B7D57C0-61D7-4171-8245-2CC6F1A08F2C}"/>
    <cellStyle name="貨幣 2 4 4 2 3" xfId="1017" xr:uid="{014D79F6-8296-4D1C-9AAF-F9A183207F1F}"/>
    <cellStyle name="貨幣 2 4 4 3" xfId="485" xr:uid="{E1435227-BA3F-48FF-8999-C1C3DC064A34}"/>
    <cellStyle name="貨幣 2 4 4 4" xfId="821" xr:uid="{F49D42D9-3057-4C99-9F0A-5B2E3FEF42CB}"/>
    <cellStyle name="貨幣 2 4 5" xfId="76" xr:uid="{93E0454A-EE69-4A87-9FA4-F0652AF93296}"/>
    <cellStyle name="貨幣 2 4 5 2" xfId="273" xr:uid="{D3691999-C5BF-46EA-9BE7-5A25708D21F4}"/>
    <cellStyle name="貨幣 2 4 5 2 2" xfId="617" xr:uid="{6A3E5CF7-8027-4518-9331-8A993B55D246}"/>
    <cellStyle name="貨幣 2 4 5 2 3" xfId="953" xr:uid="{705D285C-1F50-4C32-89B3-91214287EFE2}"/>
    <cellStyle name="貨幣 2 4 5 3" xfId="421" xr:uid="{E094E420-6A95-414E-A360-28061186F117}"/>
    <cellStyle name="貨幣 2 4 5 4" xfId="757" xr:uid="{4638094D-8C00-4A44-90B3-B94140C61B82}"/>
    <cellStyle name="貨幣 2 4 6" xfId="165" xr:uid="{8FF7E0E0-1B3E-48E9-A377-45521314A63A}"/>
    <cellStyle name="貨幣 2 4 6 2" xfId="509" xr:uid="{5A13F46C-51B2-4297-8B2C-9B586BB128C9}"/>
    <cellStyle name="貨幣 2 4 6 3" xfId="845" xr:uid="{5F43AE56-AB52-46FD-BD13-F89132024CC6}"/>
    <cellStyle name="貨幣 2 4 7" xfId="209" xr:uid="{6C80EAC5-9A55-4901-B4A5-8587D86D0E52}"/>
    <cellStyle name="貨幣 2 4 7 2" xfId="553" xr:uid="{366755F1-AFD0-4AE7-85A3-C3F702918E6A}"/>
    <cellStyle name="貨幣 2 4 7 3" xfId="889" xr:uid="{99E39EAF-CBE3-4E19-B064-9AE859BE7730}"/>
    <cellStyle name="貨幣 2 4 8" xfId="357" xr:uid="{0B34F708-9C60-4E0B-981D-84EDF76BC89E}"/>
    <cellStyle name="貨幣 2 4 9" xfId="693" xr:uid="{FC3524A6-44F5-4030-BF30-F1670CC7D57B}"/>
    <cellStyle name="貨幣 2 5" xfId="24" xr:uid="{3DF3A487-A5F2-4580-8CF1-83D40953E7FF}"/>
    <cellStyle name="貨幣 2 5 2" xfId="56" xr:uid="{33F9E0E9-5DC5-4874-A8D9-DFC3195175F1}"/>
    <cellStyle name="貨幣 2 5 2 2" xfId="120" xr:uid="{F699B47B-0556-4806-A7D3-07211290B830}"/>
    <cellStyle name="貨幣 2 5 2 2 2" xfId="317" xr:uid="{53568739-2534-49E8-93BB-3D395BC50E53}"/>
    <cellStyle name="貨幣 2 5 2 2 2 2" xfId="661" xr:uid="{1E0CC2C8-C452-444A-8F93-318436DC5653}"/>
    <cellStyle name="貨幣 2 5 2 2 2 3" xfId="997" xr:uid="{B2BC016A-4FCC-4C86-BC4A-F4D985BDD8AB}"/>
    <cellStyle name="貨幣 2 5 2 2 3" xfId="465" xr:uid="{419AA1E8-E436-4614-A56E-40D5E3C8C216}"/>
    <cellStyle name="貨幣 2 5 2 2 4" xfId="801" xr:uid="{572A4608-7F8D-40C6-97F8-37ED14506164}"/>
    <cellStyle name="貨幣 2 5 2 3" xfId="189" xr:uid="{3FECCFFB-B4DD-4512-B773-3EDE09AB6066}"/>
    <cellStyle name="貨幣 2 5 2 3 2" xfId="533" xr:uid="{896C19A8-1434-476B-B61D-02D87631536D}"/>
    <cellStyle name="貨幣 2 5 2 3 3" xfId="869" xr:uid="{A9A928B1-CF4F-4037-B4BA-5E132E36B4F5}"/>
    <cellStyle name="貨幣 2 5 2 4" xfId="253" xr:uid="{4CD509D3-1E40-487D-AF1D-5A6E6E4C32F6}"/>
    <cellStyle name="貨幣 2 5 2 4 2" xfId="597" xr:uid="{9E57684E-C953-4D3F-A4C1-2B4394A0D80E}"/>
    <cellStyle name="貨幣 2 5 2 4 3" xfId="933" xr:uid="{7DCAE48B-3193-41DA-84AD-1E8820656583}"/>
    <cellStyle name="貨幣 2 5 2 5" xfId="401" xr:uid="{D692697C-089F-4114-B423-B247AA2859B5}"/>
    <cellStyle name="貨幣 2 5 2 6" xfId="737" xr:uid="{F62D3328-F201-4D3F-A38A-F53F9B3CC942}"/>
    <cellStyle name="貨幣 2 5 3" xfId="88" xr:uid="{81245ED1-D468-4963-A19B-A0713288917A}"/>
    <cellStyle name="貨幣 2 5 3 2" xfId="285" xr:uid="{FEBED585-C5F1-4D7D-B271-45D52DE51425}"/>
    <cellStyle name="貨幣 2 5 3 2 2" xfId="629" xr:uid="{01A8CF13-C1F8-4B88-93BB-D60C36B7EC2E}"/>
    <cellStyle name="貨幣 2 5 3 2 3" xfId="965" xr:uid="{7C115D12-94E7-4979-9500-4AE76386F799}"/>
    <cellStyle name="貨幣 2 5 3 3" xfId="433" xr:uid="{A32CABF6-C758-4FB2-87D6-2EDD530238D1}"/>
    <cellStyle name="貨幣 2 5 3 4" xfId="769" xr:uid="{C4899E94-3B0F-4BC9-AD0E-FF9662A86BE6}"/>
    <cellStyle name="貨幣 2 5 4" xfId="157" xr:uid="{74FB2EE7-0F7F-4582-A396-D25A6EFD9C17}"/>
    <cellStyle name="貨幣 2 5 4 2" xfId="501" xr:uid="{24F30DCC-6C37-49DF-A244-FB9B6DCC1081}"/>
    <cellStyle name="貨幣 2 5 4 3" xfId="837" xr:uid="{AC6BFCBD-D017-4860-B6FF-F5B4CA1E1704}"/>
    <cellStyle name="貨幣 2 5 5" xfId="221" xr:uid="{8BC97038-1554-432C-9559-9FA83F76D609}"/>
    <cellStyle name="貨幣 2 5 5 2" xfId="565" xr:uid="{7B1B7A56-0E87-4FA6-8D38-6E5B22C5B91F}"/>
    <cellStyle name="貨幣 2 5 5 3" xfId="901" xr:uid="{99D39803-78C3-41DE-982A-501EC05434DE}"/>
    <cellStyle name="貨幣 2 5 6" xfId="369" xr:uid="{61E35453-E36B-4C74-9799-DEBC67035D0F}"/>
    <cellStyle name="貨幣 2 5 7" xfId="705" xr:uid="{542143C8-12FC-4270-82D6-0271F58E6B25}"/>
    <cellStyle name="貨幣 2 6" xfId="40" xr:uid="{F4872130-31BF-4B0A-8D95-0DFEC80DE96A}"/>
    <cellStyle name="貨幣 2 6 2" xfId="104" xr:uid="{B5909CBC-88DB-4D5C-9628-80CE80FC41AE}"/>
    <cellStyle name="貨幣 2 6 2 2" xfId="301" xr:uid="{EF753439-8826-42C5-A325-D5E39B3A43BB}"/>
    <cellStyle name="貨幣 2 6 2 2 2" xfId="645" xr:uid="{513CFCBE-21F6-41C4-8192-39408189628F}"/>
    <cellStyle name="貨幣 2 6 2 2 3" xfId="981" xr:uid="{FEDD9DF2-2DC7-4521-99A2-1ECE2367AFC4}"/>
    <cellStyle name="貨幣 2 6 2 3" xfId="449" xr:uid="{F15EE6E4-6F0C-4073-A5FC-CBD079FC936F}"/>
    <cellStyle name="貨幣 2 6 2 4" xfId="785" xr:uid="{E79018D1-C065-4F88-A8AB-E013885F26A7}"/>
    <cellStyle name="貨幣 2 6 3" xfId="173" xr:uid="{0E207EDD-4176-431C-87AA-C76D34AA05D7}"/>
    <cellStyle name="貨幣 2 6 3 2" xfId="517" xr:uid="{D3576C75-F1D4-479C-9AAF-DC271670B410}"/>
    <cellStyle name="貨幣 2 6 3 3" xfId="853" xr:uid="{A43AF183-6E38-4EEF-AEAB-B8AF617DE565}"/>
    <cellStyle name="貨幣 2 6 4" xfId="237" xr:uid="{40B08E26-E5F7-44A6-90C3-325431B529C6}"/>
    <cellStyle name="貨幣 2 6 4 2" xfId="581" xr:uid="{C688A41C-E363-493D-9633-96D4D0AE0B94}"/>
    <cellStyle name="貨幣 2 6 4 3" xfId="917" xr:uid="{B4A66C35-B5CB-4A0A-B2CB-7A75B8180FDA}"/>
    <cellStyle name="貨幣 2 6 5" xfId="385" xr:uid="{FD8C5256-5623-4513-8C1B-611F049ACE33}"/>
    <cellStyle name="貨幣 2 6 6" xfId="721" xr:uid="{135E1699-5F91-4BCB-B19D-06EA6AB153D1}"/>
    <cellStyle name="貨幣 2 7" xfId="64" xr:uid="{98164F7B-3C13-43B6-B8FD-51906DAC0A1D}"/>
    <cellStyle name="貨幣 2 7 2" xfId="128" xr:uid="{18B685AC-0FA4-404E-8549-B48C0AF88A4D}"/>
    <cellStyle name="貨幣 2 7 2 2" xfId="325" xr:uid="{3FA1B218-C43E-462A-929B-4619A0894344}"/>
    <cellStyle name="貨幣 2 7 2 2 2" xfId="669" xr:uid="{93388919-0633-4893-A616-99FE6F949161}"/>
    <cellStyle name="貨幣 2 7 2 2 3" xfId="1005" xr:uid="{374F6A34-DFD7-4E99-827A-2CA5D2D84E28}"/>
    <cellStyle name="貨幣 2 7 2 3" xfId="473" xr:uid="{C48F335C-3FA4-4345-A6A3-24998443D231}"/>
    <cellStyle name="貨幣 2 7 2 4" xfId="809" xr:uid="{BBDD2AC7-DFD0-439D-9AB4-56FA71CEAE20}"/>
    <cellStyle name="貨幣 2 7 3" xfId="261" xr:uid="{81BBFD93-C704-4767-8C99-16ABA85D5068}"/>
    <cellStyle name="貨幣 2 7 3 2" xfId="605" xr:uid="{F43CD749-6314-4F9A-9EB3-0C702B95C673}"/>
    <cellStyle name="貨幣 2 7 3 3" xfId="941" xr:uid="{F394773F-2E66-4154-B373-70D12CD515DB}"/>
    <cellStyle name="貨幣 2 7 4" xfId="409" xr:uid="{F6D1490E-6458-4870-87E3-E87A0489C36C}"/>
    <cellStyle name="貨幣 2 7 5" xfId="745" xr:uid="{BFD7E300-229F-4C94-A785-7FE1B720E669}"/>
    <cellStyle name="貨幣 2 8" xfId="137" xr:uid="{EA28E58E-CB33-4ED9-8A54-DFFFC83F46A3}"/>
    <cellStyle name="貨幣 2 8 2" xfId="333" xr:uid="{5F3F86D1-CF7A-4EE6-9B31-606A51A70E4E}"/>
    <cellStyle name="貨幣 2 8 2 2" xfId="677" xr:uid="{500B0B5A-9E9C-40E9-98BB-B57468BC6955}"/>
    <cellStyle name="貨幣 2 8 2 3" xfId="1013" xr:uid="{D6059C56-7703-4DFD-BDBA-D518D874ACD4}"/>
    <cellStyle name="貨幣 2 8 3" xfId="481" xr:uid="{3B582349-17C7-4F51-8D8E-B1A8BE83F59A}"/>
    <cellStyle name="貨幣 2 8 4" xfId="817" xr:uid="{1BF9EE2E-16C0-4BFF-8AEA-F12048833EF8}"/>
    <cellStyle name="貨幣 2 9" xfId="72" xr:uid="{043F6310-8873-4545-9021-0851DB891F5A}"/>
    <cellStyle name="貨幣 2 9 2" xfId="269" xr:uid="{3F985E38-CF32-4FDB-9FC4-B8295F2FC814}"/>
    <cellStyle name="貨幣 2 9 2 2" xfId="613" xr:uid="{FF1FAC70-4DE5-49E5-B984-46485817CE01}"/>
    <cellStyle name="貨幣 2 9 2 3" xfId="949" xr:uid="{D92A80A9-C9A1-4D3E-BE24-7CB6129D524A}"/>
    <cellStyle name="貨幣 2 9 3" xfId="417" xr:uid="{08D258DF-5DB3-49CD-BC5E-198109060634}"/>
    <cellStyle name="貨幣 2 9 4" xfId="753" xr:uid="{61A4A80F-5D05-4EF4-8AF5-3FCEF14419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A6D42-1CD9-43DF-9F6D-2E000D94937A}">
  <sheetPr>
    <pageSetUpPr fitToPage="1"/>
  </sheetPr>
  <dimension ref="A1:V135"/>
  <sheetViews>
    <sheetView topLeftCell="A102" zoomScaleNormal="100" workbookViewId="0">
      <selection activeCell="O6" sqref="O6:Q6"/>
    </sheetView>
  </sheetViews>
  <sheetFormatPr defaultRowHeight="14.25" x14ac:dyDescent="0.25"/>
  <cols>
    <col min="1" max="2" width="4.125" style="1" customWidth="1"/>
    <col min="3" max="3" width="6.75" style="1" customWidth="1"/>
    <col min="4" max="5" width="4.125" style="1" customWidth="1"/>
    <col min="6" max="6" width="5.625" style="1" customWidth="1"/>
    <col min="7" max="7" width="20.25" style="1" customWidth="1"/>
    <col min="8" max="8" width="10.125" style="1" customWidth="1"/>
    <col min="9" max="9" width="20.5" style="1" customWidth="1"/>
    <col min="10" max="10" width="5.625" style="1" customWidth="1"/>
    <col min="11" max="11" width="11.625" style="1" customWidth="1"/>
    <col min="12" max="12" width="17" style="1" customWidth="1"/>
    <col min="13" max="13" width="10.5" style="1" customWidth="1"/>
    <col min="14" max="14" width="4.125" style="1" customWidth="1"/>
    <col min="15" max="15" width="8.625" style="1" customWidth="1"/>
    <col min="16" max="16" width="4.125" style="1" customWidth="1"/>
    <col min="17" max="17" width="19.625" style="1" customWidth="1"/>
    <col min="18" max="16384" width="9" style="1"/>
  </cols>
  <sheetData>
    <row r="1" spans="1:22" s="2" customFormat="1" ht="19.5" x14ac:dyDescent="0.25">
      <c r="A1" s="79" t="s">
        <v>52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4"/>
      <c r="S1" s="4"/>
      <c r="T1" s="4"/>
      <c r="U1" s="4"/>
    </row>
    <row r="2" spans="1:22" s="3" customFormat="1" ht="34.5" customHeight="1" x14ac:dyDescent="0.25">
      <c r="A2" s="80" t="s">
        <v>28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</row>
    <row r="3" spans="1:22" s="3" customFormat="1" ht="15" x14ac:dyDescent="0.25">
      <c r="A3" s="81" t="s">
        <v>2</v>
      </c>
      <c r="B3" s="81"/>
      <c r="C3" s="81"/>
      <c r="D3" s="81"/>
      <c r="E3" s="81"/>
      <c r="F3" s="81"/>
      <c r="G3" s="81"/>
      <c r="H3" s="81"/>
      <c r="I3" s="81"/>
      <c r="J3" s="82" t="s">
        <v>3</v>
      </c>
      <c r="K3" s="82"/>
      <c r="L3" s="82"/>
      <c r="M3" s="82"/>
      <c r="N3" s="82"/>
      <c r="O3" s="82"/>
      <c r="P3" s="82"/>
      <c r="Q3" s="82"/>
    </row>
    <row r="4" spans="1:22" s="2" customFormat="1" ht="19.5" x14ac:dyDescent="0.25">
      <c r="A4" s="83" t="s">
        <v>51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4"/>
      <c r="S4" s="4"/>
      <c r="T4" s="4"/>
      <c r="U4" s="4"/>
      <c r="V4" s="1"/>
    </row>
    <row r="5" spans="1:22" ht="15.75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4"/>
      <c r="S5" s="4"/>
      <c r="T5" s="4"/>
      <c r="U5" s="4"/>
    </row>
    <row r="6" spans="1:22" ht="16.5" customHeight="1" x14ac:dyDescent="0.25">
      <c r="A6" s="3" t="s">
        <v>29</v>
      </c>
      <c r="B6" s="84" t="s">
        <v>84</v>
      </c>
      <c r="C6" s="85"/>
      <c r="D6" s="85"/>
      <c r="E6" s="85"/>
      <c r="F6" s="85"/>
      <c r="G6" s="86"/>
      <c r="H6" s="4"/>
      <c r="I6" s="4"/>
      <c r="J6" s="4"/>
      <c r="K6" s="4"/>
      <c r="L6" s="87" t="s">
        <v>30</v>
      </c>
      <c r="M6" s="87"/>
      <c r="N6" s="88"/>
      <c r="O6" s="75" t="s">
        <v>83</v>
      </c>
      <c r="P6" s="75"/>
      <c r="Q6" s="66"/>
      <c r="R6" s="4"/>
      <c r="S6" s="4"/>
      <c r="T6" s="4"/>
      <c r="U6" s="4"/>
    </row>
    <row r="7" spans="1:22" ht="15.75" x14ac:dyDescent="0.25">
      <c r="A7" s="74" t="s">
        <v>77</v>
      </c>
      <c r="B7" s="47"/>
      <c r="C7" s="47"/>
      <c r="D7" s="48"/>
      <c r="E7" s="66" t="s">
        <v>25</v>
      </c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4"/>
      <c r="S7" s="4"/>
      <c r="T7" s="4"/>
      <c r="U7" s="4"/>
    </row>
    <row r="8" spans="1:22" ht="15" customHeight="1" x14ac:dyDescent="0.25">
      <c r="A8" s="47" t="s">
        <v>31</v>
      </c>
      <c r="B8" s="47"/>
      <c r="C8" s="47"/>
      <c r="D8" s="47"/>
      <c r="E8" s="47"/>
      <c r="F8" s="47"/>
      <c r="G8" s="75" t="s">
        <v>4</v>
      </c>
      <c r="H8" s="75"/>
      <c r="I8" s="66"/>
      <c r="J8" s="66"/>
      <c r="K8" s="66"/>
      <c r="L8" s="66"/>
      <c r="M8" s="66"/>
      <c r="N8" s="66"/>
      <c r="O8" s="66"/>
      <c r="P8" s="66"/>
      <c r="Q8" s="66"/>
      <c r="R8" s="4"/>
      <c r="S8" s="4"/>
      <c r="T8" s="4"/>
      <c r="U8" s="4"/>
    </row>
    <row r="9" spans="1:22" ht="15" customHeight="1" x14ac:dyDescent="0.25">
      <c r="A9" s="76" t="s">
        <v>5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4"/>
      <c r="S9" s="4"/>
      <c r="T9" s="4"/>
      <c r="U9" s="4"/>
    </row>
    <row r="10" spans="1:22" ht="8.25" customHeight="1" x14ac:dyDescent="0.25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4"/>
      <c r="S10" s="4"/>
      <c r="T10" s="4"/>
      <c r="U10" s="4"/>
    </row>
    <row r="11" spans="1:22" ht="15.75" customHeight="1" x14ac:dyDescent="0.25">
      <c r="A11" s="47" t="s">
        <v>32</v>
      </c>
      <c r="B11" s="47"/>
      <c r="C11" s="47"/>
      <c r="D11" s="78" t="s">
        <v>1</v>
      </c>
      <c r="E11" s="78"/>
      <c r="F11" s="78"/>
      <c r="G11" s="78"/>
      <c r="H11" s="78"/>
      <c r="I11" s="64"/>
      <c r="J11" s="27" t="s">
        <v>33</v>
      </c>
      <c r="K11" s="78" t="s">
        <v>56</v>
      </c>
      <c r="L11" s="64"/>
      <c r="M11" s="64"/>
      <c r="N11" s="64"/>
      <c r="O11" s="64"/>
      <c r="P11" s="64"/>
      <c r="Q11" s="64"/>
      <c r="R11" s="4"/>
      <c r="S11" s="4"/>
      <c r="T11" s="4"/>
      <c r="U11" s="4"/>
    </row>
    <row r="12" spans="1:22" ht="15.75" customHeight="1" x14ac:dyDescent="0.25">
      <c r="A12" s="47" t="s">
        <v>34</v>
      </c>
      <c r="B12" s="47"/>
      <c r="C12" s="47"/>
      <c r="D12" s="48"/>
      <c r="E12" s="64"/>
      <c r="F12" s="64"/>
      <c r="G12" s="64"/>
      <c r="H12" s="8" t="s">
        <v>35</v>
      </c>
      <c r="I12" s="65" t="s">
        <v>57</v>
      </c>
      <c r="J12" s="66"/>
      <c r="K12" s="66"/>
      <c r="L12" s="6" t="s">
        <v>36</v>
      </c>
      <c r="M12" s="6"/>
      <c r="N12" s="64" t="s">
        <v>59</v>
      </c>
      <c r="O12" s="64"/>
      <c r="P12" s="64"/>
      <c r="Q12" s="64"/>
      <c r="R12" s="4"/>
      <c r="S12" s="4"/>
      <c r="T12" s="4"/>
      <c r="U12" s="4"/>
    </row>
    <row r="13" spans="1:22" ht="15.75" customHeight="1" thickBo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2" ht="14.25" customHeight="1" thickTop="1" x14ac:dyDescent="0.25">
      <c r="A14" s="67" t="s">
        <v>37</v>
      </c>
      <c r="B14" s="68"/>
      <c r="C14" s="68"/>
      <c r="D14" s="69"/>
      <c r="E14" s="70" t="s">
        <v>38</v>
      </c>
      <c r="F14" s="68"/>
      <c r="G14" s="68"/>
      <c r="H14" s="68"/>
      <c r="I14" s="68"/>
      <c r="J14" s="68"/>
      <c r="K14" s="70" t="s">
        <v>39</v>
      </c>
      <c r="L14" s="71"/>
      <c r="M14" s="16"/>
      <c r="N14" s="72" t="s">
        <v>40</v>
      </c>
      <c r="O14" s="73"/>
      <c r="P14" s="70" t="s">
        <v>0</v>
      </c>
      <c r="Q14" s="72"/>
      <c r="R14" s="4"/>
      <c r="S14" s="4"/>
      <c r="T14" s="4"/>
      <c r="U14" s="4"/>
    </row>
    <row r="15" spans="1:22" ht="15.75" customHeight="1" x14ac:dyDescent="0.25">
      <c r="A15" s="4"/>
      <c r="B15" s="26"/>
      <c r="C15" s="26"/>
      <c r="D15" s="26"/>
      <c r="E15" s="26"/>
      <c r="F15" s="26"/>
      <c r="G15" s="26"/>
      <c r="H15" s="26"/>
      <c r="I15" s="26"/>
      <c r="J15" s="26"/>
      <c r="K15" s="19"/>
      <c r="L15" s="19"/>
      <c r="M15" s="19"/>
      <c r="N15" s="19"/>
      <c r="O15" s="11" t="s">
        <v>6</v>
      </c>
      <c r="P15" s="19"/>
      <c r="Q15" s="19"/>
      <c r="R15" s="4"/>
      <c r="S15" s="4"/>
      <c r="T15" s="4"/>
      <c r="U15" s="4"/>
    </row>
    <row r="16" spans="1:22" ht="15.75" x14ac:dyDescent="0.25">
      <c r="A16" s="4" t="s">
        <v>41</v>
      </c>
      <c r="B16" s="4"/>
      <c r="C16" s="4"/>
      <c r="D16" s="4"/>
      <c r="E16" s="4"/>
      <c r="F16" s="4" t="s">
        <v>7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15.75" x14ac:dyDescent="0.25">
      <c r="A17" s="4" t="s">
        <v>42</v>
      </c>
      <c r="B17" s="4"/>
      <c r="C17" s="4"/>
      <c r="D17" s="4"/>
      <c r="E17" s="4"/>
      <c r="F17" s="4" t="s">
        <v>8</v>
      </c>
      <c r="G17" s="4"/>
      <c r="H17" s="4"/>
      <c r="I17" s="4"/>
      <c r="J17" s="4"/>
      <c r="K17" s="4"/>
      <c r="L17" s="21"/>
      <c r="M17" s="21"/>
      <c r="N17" s="21"/>
      <c r="O17" s="21"/>
      <c r="P17" s="21"/>
      <c r="Q17" s="21"/>
      <c r="R17" s="4"/>
      <c r="S17" s="4"/>
      <c r="T17" s="4"/>
      <c r="U17" s="4"/>
    </row>
    <row r="18" spans="1:21" ht="15.75" x14ac:dyDescent="0.25">
      <c r="A18" s="4" t="s">
        <v>43</v>
      </c>
      <c r="B18" s="4"/>
      <c r="C18" s="4"/>
      <c r="D18" s="4"/>
      <c r="E18" s="24"/>
      <c r="F18" s="4" t="s">
        <v>61</v>
      </c>
      <c r="G18" s="4" t="s">
        <v>78</v>
      </c>
      <c r="H18" s="4"/>
      <c r="I18" s="4"/>
      <c r="J18" s="4"/>
      <c r="K18" s="4"/>
      <c r="L18" s="18">
        <v>2433</v>
      </c>
      <c r="M18" s="21" t="s">
        <v>9</v>
      </c>
      <c r="N18" s="21"/>
      <c r="O18" s="23">
        <v>8.66</v>
      </c>
      <c r="P18" s="13"/>
      <c r="Q18" s="23">
        <f>SUM(L18*O18)</f>
        <v>21069.78</v>
      </c>
      <c r="R18" s="4"/>
      <c r="S18" s="4"/>
      <c r="T18" s="4"/>
      <c r="U18" s="4"/>
    </row>
    <row r="19" spans="1:21" ht="15.75" x14ac:dyDescent="0.25">
      <c r="A19" s="4" t="s">
        <v>44</v>
      </c>
      <c r="B19" s="4"/>
      <c r="C19" s="4"/>
      <c r="D19" s="4"/>
      <c r="E19" s="10"/>
      <c r="F19" s="4"/>
      <c r="G19" s="4" t="s">
        <v>72</v>
      </c>
      <c r="H19" s="4"/>
      <c r="I19" s="4"/>
      <c r="J19" s="4"/>
      <c r="K19" s="4"/>
      <c r="L19" s="18"/>
      <c r="M19" s="21"/>
      <c r="N19" s="21"/>
      <c r="O19" s="23"/>
      <c r="P19" s="13"/>
      <c r="Q19" s="23"/>
      <c r="R19" s="4"/>
      <c r="S19" s="4"/>
      <c r="T19" s="4"/>
      <c r="U19" s="4"/>
    </row>
    <row r="20" spans="1:21" ht="14.25" customHeight="1" x14ac:dyDescent="0.25">
      <c r="A20" s="4"/>
      <c r="B20" s="4"/>
      <c r="C20" s="4"/>
      <c r="D20" s="4"/>
      <c r="E20" s="10"/>
      <c r="F20" s="4"/>
      <c r="G20" s="4" t="s">
        <v>73</v>
      </c>
      <c r="H20" s="9"/>
      <c r="I20" s="4"/>
      <c r="J20" s="4"/>
      <c r="K20" s="4"/>
      <c r="L20" s="18"/>
      <c r="M20" s="21"/>
      <c r="N20" s="21"/>
      <c r="O20" s="23"/>
      <c r="P20" s="13"/>
      <c r="Q20" s="23"/>
      <c r="R20" s="4"/>
      <c r="S20" s="4"/>
      <c r="T20" s="4"/>
      <c r="U20" s="4"/>
    </row>
    <row r="21" spans="1:21" ht="14.25" customHeight="1" x14ac:dyDescent="0.25">
      <c r="A21" s="4" t="s">
        <v>45</v>
      </c>
      <c r="B21" s="4"/>
      <c r="C21" s="4"/>
      <c r="D21" s="4"/>
      <c r="E21" s="4"/>
      <c r="F21" s="4"/>
      <c r="G21" s="4" t="s">
        <v>75</v>
      </c>
      <c r="H21" s="9"/>
      <c r="I21" s="4"/>
      <c r="J21" s="4"/>
      <c r="K21" s="4"/>
      <c r="L21" s="18"/>
      <c r="M21" s="21"/>
      <c r="N21" s="21"/>
      <c r="O21" s="23"/>
      <c r="P21" s="13"/>
      <c r="Q21" s="23"/>
      <c r="R21" s="4"/>
      <c r="S21" s="4"/>
      <c r="T21" s="4"/>
      <c r="U21" s="4"/>
    </row>
    <row r="22" spans="1:21" ht="14.25" customHeight="1" x14ac:dyDescent="0.25">
      <c r="A22" s="4" t="s">
        <v>46</v>
      </c>
      <c r="B22" s="4"/>
      <c r="C22" s="4"/>
      <c r="D22" s="4"/>
      <c r="E22" s="4"/>
      <c r="F22" s="4"/>
      <c r="G22" s="4" t="s">
        <v>74</v>
      </c>
      <c r="H22" s="9"/>
      <c r="I22" s="4"/>
      <c r="J22" s="4"/>
      <c r="K22" s="4"/>
      <c r="L22" s="18"/>
      <c r="M22" s="21"/>
      <c r="N22" s="21"/>
      <c r="O22" s="23"/>
      <c r="P22" s="13"/>
      <c r="Q22" s="23"/>
      <c r="R22" s="4"/>
      <c r="S22" s="4"/>
      <c r="T22" s="4"/>
      <c r="U22" s="4"/>
    </row>
    <row r="23" spans="1:21" ht="15.75" x14ac:dyDescent="0.25">
      <c r="A23" s="4" t="s">
        <v>47</v>
      </c>
      <c r="B23" s="4"/>
      <c r="C23" s="4"/>
      <c r="D23" s="4"/>
      <c r="E23" s="11"/>
      <c r="F23" s="4"/>
      <c r="G23" s="4" t="s">
        <v>85</v>
      </c>
      <c r="H23" s="89">
        <v>1217</v>
      </c>
      <c r="I23" s="4"/>
      <c r="J23" s="4"/>
      <c r="K23" s="4"/>
      <c r="L23" s="18"/>
      <c r="M23" s="21"/>
      <c r="N23" s="21"/>
      <c r="O23" s="23"/>
      <c r="P23" s="13"/>
      <c r="Q23" s="23"/>
      <c r="R23" s="4"/>
      <c r="S23" s="4"/>
      <c r="T23" s="4"/>
      <c r="U23" s="4"/>
    </row>
    <row r="24" spans="1:21" ht="15.75" x14ac:dyDescent="0.25">
      <c r="A24" s="4" t="s">
        <v>48</v>
      </c>
      <c r="B24" s="4"/>
      <c r="C24" s="4"/>
      <c r="D24" s="4"/>
      <c r="E24" s="4"/>
      <c r="F24" s="4"/>
      <c r="G24" s="4" t="s">
        <v>86</v>
      </c>
      <c r="H24" s="89">
        <v>1216</v>
      </c>
      <c r="I24" s="4"/>
      <c r="J24" s="4"/>
      <c r="K24" s="4"/>
      <c r="L24" s="18"/>
      <c r="M24" s="21"/>
      <c r="N24" s="21"/>
      <c r="O24" s="23"/>
      <c r="P24" s="13"/>
      <c r="Q24" s="23"/>
      <c r="R24" s="4"/>
      <c r="S24" s="4"/>
      <c r="T24" s="4"/>
      <c r="U24" s="4"/>
    </row>
    <row r="25" spans="1:21" ht="15.7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18"/>
      <c r="M25" s="21"/>
      <c r="N25" s="21"/>
      <c r="O25" s="23"/>
      <c r="P25" s="13"/>
      <c r="Q25" s="23"/>
      <c r="R25" s="4"/>
      <c r="S25" s="4"/>
      <c r="T25" s="4"/>
      <c r="U25" s="4"/>
    </row>
    <row r="26" spans="1:21" ht="15.75" x14ac:dyDescent="0.25">
      <c r="A26" s="4" t="s">
        <v>49</v>
      </c>
      <c r="B26" s="4"/>
      <c r="C26" s="4"/>
      <c r="D26" s="4"/>
      <c r="E26" s="4"/>
      <c r="F26" s="4" t="s">
        <v>62</v>
      </c>
      <c r="G26" s="4" t="s">
        <v>87</v>
      </c>
      <c r="H26" s="4"/>
      <c r="I26" s="4"/>
      <c r="J26" s="4"/>
      <c r="K26" s="4"/>
      <c r="L26" s="18">
        <v>305</v>
      </c>
      <c r="M26" s="21" t="s">
        <v>9</v>
      </c>
      <c r="N26" s="21"/>
      <c r="O26" s="23">
        <v>5.74</v>
      </c>
      <c r="P26" s="13"/>
      <c r="Q26" s="23">
        <f>SUM(L26*O26)</f>
        <v>1750.7</v>
      </c>
      <c r="R26" s="4"/>
      <c r="S26" s="4"/>
      <c r="T26" s="4"/>
      <c r="U26" s="4"/>
    </row>
    <row r="27" spans="1:21" ht="15.75" x14ac:dyDescent="0.25">
      <c r="A27" s="4" t="s">
        <v>50</v>
      </c>
      <c r="B27" s="4"/>
      <c r="C27" s="4"/>
      <c r="D27" s="4"/>
      <c r="E27" s="4"/>
      <c r="F27" s="4"/>
      <c r="G27" s="4" t="s">
        <v>88</v>
      </c>
      <c r="H27" s="4"/>
      <c r="I27" s="4"/>
      <c r="J27" s="4"/>
      <c r="K27" s="4"/>
      <c r="L27" s="18"/>
      <c r="M27" s="21"/>
      <c r="N27" s="21"/>
      <c r="O27" s="23"/>
      <c r="P27" s="13"/>
      <c r="Q27" s="23"/>
      <c r="R27" s="4"/>
      <c r="S27" s="4"/>
      <c r="T27" s="4"/>
      <c r="U27" s="4"/>
    </row>
    <row r="28" spans="1:21" ht="15.75" x14ac:dyDescent="0.25">
      <c r="A28" s="4"/>
      <c r="B28" s="4"/>
      <c r="C28" s="4"/>
      <c r="D28" s="4"/>
      <c r="E28" s="4"/>
      <c r="F28" s="4"/>
      <c r="G28" s="4" t="s">
        <v>110</v>
      </c>
      <c r="I28" s="9"/>
      <c r="J28" s="9"/>
      <c r="K28" s="4"/>
      <c r="L28" s="18"/>
      <c r="M28" s="21"/>
      <c r="N28" s="21"/>
      <c r="O28" s="23"/>
      <c r="P28" s="13"/>
      <c r="Q28" s="23"/>
      <c r="R28" s="4"/>
      <c r="S28" s="4"/>
      <c r="T28" s="4"/>
      <c r="U28" s="4"/>
    </row>
    <row r="29" spans="1:21" ht="15.75" x14ac:dyDescent="0.25">
      <c r="A29" s="4"/>
      <c r="B29" s="4"/>
      <c r="C29" s="4"/>
      <c r="D29" s="4"/>
      <c r="E29" s="4"/>
      <c r="F29" s="4"/>
      <c r="G29" s="4" t="s">
        <v>111</v>
      </c>
      <c r="H29" s="9"/>
      <c r="I29" s="4"/>
      <c r="J29" s="9"/>
      <c r="K29" s="4"/>
      <c r="L29" s="18"/>
      <c r="M29" s="21"/>
      <c r="N29" s="4"/>
      <c r="O29" s="23"/>
      <c r="P29" s="13"/>
      <c r="Q29" s="23"/>
      <c r="R29" s="4"/>
      <c r="S29" s="4"/>
      <c r="T29" s="4"/>
      <c r="U29" s="4"/>
    </row>
    <row r="30" spans="1:21" ht="15.75" x14ac:dyDescent="0.25">
      <c r="A30" s="4"/>
      <c r="B30" s="4"/>
      <c r="C30" s="4"/>
      <c r="D30" s="4"/>
      <c r="E30" s="4"/>
      <c r="F30" s="4"/>
      <c r="G30" s="4" t="s">
        <v>112</v>
      </c>
      <c r="H30" s="9"/>
      <c r="I30" s="4"/>
      <c r="J30" s="9"/>
      <c r="K30" s="4"/>
      <c r="L30" s="18"/>
      <c r="M30" s="21"/>
      <c r="N30" s="4"/>
      <c r="O30" s="23"/>
      <c r="P30" s="13"/>
      <c r="Q30" s="23"/>
      <c r="R30" s="4"/>
      <c r="S30" s="4"/>
      <c r="T30" s="4"/>
      <c r="U30" s="4"/>
    </row>
    <row r="31" spans="1:21" ht="15.75" x14ac:dyDescent="0.25">
      <c r="A31" s="4"/>
      <c r="B31" s="4"/>
      <c r="C31" s="4"/>
      <c r="D31" s="4"/>
      <c r="E31" s="4"/>
      <c r="F31" s="4"/>
      <c r="G31" s="4" t="s">
        <v>89</v>
      </c>
      <c r="H31" s="4"/>
      <c r="I31" s="4"/>
      <c r="J31" s="4"/>
      <c r="K31" s="4"/>
      <c r="L31" s="18"/>
      <c r="M31" s="21"/>
      <c r="N31" s="21"/>
      <c r="O31" s="23"/>
      <c r="P31" s="13"/>
      <c r="Q31" s="23"/>
      <c r="R31" s="4"/>
      <c r="S31" s="4"/>
      <c r="T31" s="4"/>
      <c r="U31" s="4"/>
    </row>
    <row r="32" spans="1:21" ht="15.75" x14ac:dyDescent="0.25">
      <c r="A32" s="4"/>
      <c r="B32" s="4"/>
      <c r="C32" s="4"/>
      <c r="D32" s="4"/>
      <c r="E32" s="4"/>
      <c r="F32" s="4"/>
      <c r="G32" s="4"/>
      <c r="H32" s="12"/>
      <c r="I32" s="4"/>
      <c r="J32" s="4"/>
      <c r="K32" s="4"/>
      <c r="L32" s="18"/>
      <c r="M32" s="21"/>
      <c r="N32" s="21"/>
      <c r="O32" s="23"/>
      <c r="P32" s="13"/>
      <c r="Q32" s="23"/>
      <c r="R32" s="4"/>
      <c r="S32" s="4"/>
      <c r="T32" s="4"/>
      <c r="U32" s="4"/>
    </row>
    <row r="33" spans="1:21" ht="15.7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18"/>
      <c r="M33" s="21"/>
      <c r="N33" s="21"/>
      <c r="O33" s="23"/>
      <c r="P33" s="13"/>
      <c r="Q33" s="23"/>
      <c r="R33" s="4"/>
      <c r="S33" s="4"/>
      <c r="T33" s="4"/>
      <c r="U33" s="4"/>
    </row>
    <row r="34" spans="1:21" ht="15.75" x14ac:dyDescent="0.25">
      <c r="A34" s="4"/>
      <c r="B34" s="4"/>
      <c r="C34" s="4"/>
      <c r="D34" s="4"/>
      <c r="E34" s="4"/>
      <c r="F34" s="4" t="s">
        <v>63</v>
      </c>
      <c r="G34" s="4" t="s">
        <v>87</v>
      </c>
      <c r="H34" s="4"/>
      <c r="I34" s="4"/>
      <c r="J34" s="4"/>
      <c r="K34" s="4"/>
      <c r="L34" s="18">
        <v>58</v>
      </c>
      <c r="M34" s="21" t="s">
        <v>9</v>
      </c>
      <c r="N34" s="21"/>
      <c r="O34" s="23">
        <v>6.12</v>
      </c>
      <c r="P34" s="13"/>
      <c r="Q34" s="23">
        <f>SUM(L34*O34)</f>
        <v>354.96</v>
      </c>
      <c r="R34" s="4"/>
      <c r="S34" s="4"/>
      <c r="T34" s="4"/>
      <c r="U34" s="4"/>
    </row>
    <row r="35" spans="1:21" ht="15.75" x14ac:dyDescent="0.25">
      <c r="A35" s="4"/>
      <c r="B35" s="4"/>
      <c r="C35" s="4"/>
      <c r="D35" s="4"/>
      <c r="E35" s="4"/>
      <c r="F35" s="4"/>
      <c r="G35" s="4" t="s">
        <v>90</v>
      </c>
      <c r="H35" s="4"/>
      <c r="I35" s="4"/>
      <c r="J35" s="4"/>
      <c r="K35" s="4"/>
      <c r="L35" s="18"/>
      <c r="M35" s="21"/>
      <c r="N35" s="21"/>
      <c r="O35" s="23"/>
      <c r="P35" s="13"/>
      <c r="Q35" s="23"/>
      <c r="R35" s="4"/>
      <c r="S35" s="4"/>
      <c r="T35" s="4"/>
      <c r="U35" s="4"/>
    </row>
    <row r="36" spans="1:21" ht="15.75" x14ac:dyDescent="0.25">
      <c r="A36" s="4"/>
      <c r="B36" s="4"/>
      <c r="C36" s="4"/>
      <c r="D36" s="4"/>
      <c r="E36" s="4"/>
      <c r="F36" s="4"/>
      <c r="G36" s="4" t="s">
        <v>113</v>
      </c>
      <c r="H36" s="4"/>
      <c r="K36" s="4"/>
      <c r="L36" s="18"/>
      <c r="M36" s="21"/>
      <c r="N36" s="21"/>
      <c r="O36" s="23"/>
      <c r="P36" s="13"/>
      <c r="Q36" s="23"/>
      <c r="R36" s="4"/>
      <c r="S36" s="4"/>
      <c r="T36" s="4"/>
      <c r="U36" s="4"/>
    </row>
    <row r="37" spans="1:21" ht="19.5" customHeight="1" x14ac:dyDescent="0.25">
      <c r="A37" s="4"/>
      <c r="B37" s="4"/>
      <c r="C37" s="4"/>
      <c r="D37" s="4"/>
      <c r="E37" s="4"/>
      <c r="F37" s="4"/>
      <c r="G37" s="4" t="s">
        <v>114</v>
      </c>
      <c r="H37" s="4"/>
      <c r="K37" s="4"/>
      <c r="L37" s="18"/>
      <c r="M37" s="21"/>
      <c r="N37" s="21"/>
      <c r="O37" s="23"/>
      <c r="P37" s="13"/>
      <c r="Q37" s="23"/>
      <c r="R37" s="4"/>
      <c r="S37" s="4"/>
      <c r="T37" s="4"/>
      <c r="U37" s="4"/>
    </row>
    <row r="38" spans="1:21" ht="15.75" x14ac:dyDescent="0.25">
      <c r="A38" s="4"/>
      <c r="B38" s="4"/>
      <c r="C38" s="4"/>
      <c r="D38" s="4"/>
      <c r="E38" s="4"/>
      <c r="F38" s="4"/>
      <c r="G38" s="4" t="s">
        <v>60</v>
      </c>
      <c r="H38" s="9"/>
      <c r="I38" s="4"/>
      <c r="J38" s="9"/>
      <c r="K38" s="4"/>
      <c r="L38" s="18"/>
      <c r="M38" s="21"/>
      <c r="N38" s="21"/>
      <c r="O38" s="23"/>
      <c r="P38" s="13"/>
      <c r="Q38" s="23"/>
      <c r="R38" s="4"/>
      <c r="S38" s="4"/>
      <c r="T38" s="4"/>
      <c r="U38" s="4"/>
    </row>
    <row r="39" spans="1:21" ht="15.75" x14ac:dyDescent="0.25">
      <c r="A39" s="4"/>
      <c r="B39" s="4"/>
      <c r="C39" s="4"/>
      <c r="D39" s="4"/>
      <c r="E39" s="4"/>
      <c r="F39" s="4"/>
      <c r="G39" s="4" t="s">
        <v>89</v>
      </c>
      <c r="H39" s="12"/>
      <c r="I39" s="4"/>
      <c r="J39" s="4"/>
      <c r="K39" s="4"/>
      <c r="L39" s="18"/>
      <c r="M39" s="21"/>
      <c r="N39" s="21"/>
      <c r="O39" s="23"/>
      <c r="P39" s="13"/>
      <c r="Q39" s="23"/>
      <c r="R39" s="4"/>
      <c r="S39" s="4"/>
      <c r="T39" s="4"/>
      <c r="U39" s="4"/>
    </row>
    <row r="40" spans="1:21" ht="15.7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8"/>
      <c r="M40" s="21"/>
      <c r="N40" s="21"/>
      <c r="O40" s="23"/>
      <c r="P40" s="13"/>
      <c r="Q40" s="23"/>
      <c r="R40" s="4"/>
      <c r="S40" s="4"/>
      <c r="T40" s="4"/>
      <c r="U40" s="4"/>
    </row>
    <row r="41" spans="1:21" ht="15.7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8"/>
      <c r="M41" s="21"/>
      <c r="N41" s="21"/>
      <c r="O41" s="23"/>
      <c r="P41" s="13"/>
      <c r="Q41" s="23"/>
      <c r="R41" s="4"/>
      <c r="S41" s="4"/>
      <c r="T41" s="4"/>
      <c r="U41" s="4"/>
    </row>
    <row r="42" spans="1:21" ht="15.75" x14ac:dyDescent="0.25">
      <c r="A42" s="4"/>
      <c r="B42" s="4"/>
      <c r="C42" s="4"/>
      <c r="D42" s="4"/>
      <c r="E42" s="4"/>
      <c r="F42" s="4" t="s">
        <v>64</v>
      </c>
      <c r="G42" s="4" t="s">
        <v>91</v>
      </c>
      <c r="H42" s="4"/>
      <c r="I42" s="4"/>
      <c r="J42" s="4"/>
      <c r="K42" s="4"/>
      <c r="L42" s="18">
        <v>569</v>
      </c>
      <c r="M42" s="21" t="s">
        <v>9</v>
      </c>
      <c r="N42" s="21"/>
      <c r="O42" s="23">
        <v>8.19</v>
      </c>
      <c r="P42" s="13"/>
      <c r="Q42" s="23">
        <f>SUM(L42*O42)</f>
        <v>4660.1099999999997</v>
      </c>
      <c r="R42" s="4"/>
      <c r="S42" s="4"/>
      <c r="T42" s="4"/>
      <c r="U42" s="4"/>
    </row>
    <row r="43" spans="1:21" ht="15.75" x14ac:dyDescent="0.25">
      <c r="A43" s="4"/>
      <c r="B43" s="4"/>
      <c r="C43" s="4"/>
      <c r="D43" s="4"/>
      <c r="E43" s="4"/>
      <c r="F43" s="4"/>
      <c r="G43" s="4" t="s">
        <v>92</v>
      </c>
      <c r="H43" s="4"/>
      <c r="I43" s="4"/>
      <c r="J43" s="4"/>
      <c r="K43" s="4"/>
      <c r="L43" s="18"/>
      <c r="M43" s="21"/>
      <c r="N43" s="21"/>
      <c r="O43" s="23"/>
      <c r="P43" s="13"/>
      <c r="Q43" s="23"/>
      <c r="R43" s="4"/>
      <c r="S43" s="4"/>
      <c r="T43" s="4"/>
      <c r="U43" s="4"/>
    </row>
    <row r="44" spans="1:21" ht="15.75" x14ac:dyDescent="0.25">
      <c r="A44" s="4"/>
      <c r="B44" s="4"/>
      <c r="C44" s="4"/>
      <c r="D44" s="4"/>
      <c r="E44" s="4"/>
      <c r="F44" s="4"/>
      <c r="G44" s="4" t="s">
        <v>113</v>
      </c>
      <c r="H44" s="4"/>
      <c r="I44" s="4"/>
      <c r="J44" s="4"/>
      <c r="K44" s="4"/>
      <c r="L44" s="18"/>
      <c r="M44" s="21"/>
      <c r="N44" s="21"/>
      <c r="O44" s="23"/>
      <c r="P44" s="13"/>
      <c r="Q44" s="23"/>
      <c r="R44" s="4"/>
      <c r="S44" s="4"/>
      <c r="T44" s="4"/>
      <c r="U44" s="4"/>
    </row>
    <row r="45" spans="1:21" ht="15.75" x14ac:dyDescent="0.25">
      <c r="A45" s="4"/>
      <c r="B45" s="4"/>
      <c r="C45" s="4"/>
      <c r="D45" s="4"/>
      <c r="E45" s="4"/>
      <c r="F45" s="4"/>
      <c r="G45" s="4" t="s">
        <v>123</v>
      </c>
      <c r="H45" s="9"/>
      <c r="I45" s="9"/>
      <c r="J45" s="9"/>
      <c r="K45" s="4"/>
      <c r="L45" s="18"/>
      <c r="M45" s="21"/>
      <c r="N45" s="21"/>
      <c r="O45" s="23"/>
      <c r="P45" s="13"/>
      <c r="Q45" s="23"/>
      <c r="R45" s="4"/>
      <c r="S45" s="4"/>
      <c r="T45" s="4"/>
      <c r="U45" s="4"/>
    </row>
    <row r="46" spans="1:21" ht="15.75" x14ac:dyDescent="0.25">
      <c r="A46" s="4"/>
      <c r="B46" s="4"/>
      <c r="C46" s="4"/>
      <c r="D46" s="4"/>
      <c r="E46" s="4"/>
      <c r="F46" s="4"/>
      <c r="G46" s="4" t="s">
        <v>60</v>
      </c>
      <c r="H46" s="9"/>
      <c r="I46" s="9"/>
      <c r="J46" s="9"/>
      <c r="K46" s="4"/>
      <c r="L46" s="18"/>
      <c r="M46" s="21"/>
      <c r="N46" s="21"/>
      <c r="O46" s="23"/>
      <c r="P46" s="13"/>
      <c r="Q46" s="23"/>
      <c r="R46" s="4"/>
      <c r="S46" s="4"/>
      <c r="T46" s="4"/>
      <c r="U46" s="4"/>
    </row>
    <row r="47" spans="1:21" ht="15.75" x14ac:dyDescent="0.25">
      <c r="A47" s="4"/>
      <c r="B47" s="4"/>
      <c r="C47" s="4"/>
      <c r="D47" s="4"/>
      <c r="E47" s="4"/>
      <c r="F47" s="4"/>
      <c r="G47" s="4" t="s">
        <v>93</v>
      </c>
      <c r="H47" s="4"/>
      <c r="I47" s="4"/>
      <c r="J47" s="4"/>
      <c r="K47" s="4"/>
      <c r="L47" s="18"/>
      <c r="M47" s="21"/>
      <c r="N47" s="21"/>
      <c r="O47" s="23"/>
      <c r="P47" s="13"/>
      <c r="Q47" s="23"/>
      <c r="R47" s="4"/>
      <c r="S47" s="4"/>
      <c r="T47" s="4"/>
      <c r="U47" s="4"/>
    </row>
    <row r="48" spans="1:21" ht="15.7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18"/>
      <c r="M48" s="21"/>
      <c r="N48" s="21"/>
      <c r="O48" s="23"/>
      <c r="P48" s="13"/>
      <c r="Q48" s="23"/>
      <c r="R48" s="4"/>
      <c r="S48" s="4"/>
      <c r="T48" s="4"/>
      <c r="U48" s="4"/>
    </row>
    <row r="49" spans="1:21" ht="15.7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18"/>
      <c r="M49" s="21"/>
      <c r="N49" s="21"/>
      <c r="O49" s="23"/>
      <c r="P49" s="13"/>
      <c r="Q49" s="23"/>
      <c r="R49" s="4"/>
      <c r="S49" s="4"/>
      <c r="T49" s="4"/>
      <c r="U49" s="4"/>
    </row>
    <row r="50" spans="1:21" ht="15.75" x14ac:dyDescent="0.25">
      <c r="A50" s="4"/>
      <c r="B50" s="4"/>
      <c r="C50" s="4"/>
      <c r="D50" s="4"/>
      <c r="E50" s="4"/>
      <c r="F50" s="4" t="s">
        <v>65</v>
      </c>
      <c r="G50" s="4" t="s">
        <v>91</v>
      </c>
      <c r="H50" s="4"/>
      <c r="I50" s="4"/>
      <c r="J50" s="4"/>
      <c r="K50" s="4"/>
      <c r="L50" s="18">
        <v>1063</v>
      </c>
      <c r="M50" s="21" t="s">
        <v>9</v>
      </c>
      <c r="N50" s="21"/>
      <c r="O50" s="23">
        <v>8.19</v>
      </c>
      <c r="P50" s="13"/>
      <c r="Q50" s="23">
        <f>SUM(L50*O50)</f>
        <v>8705.9699999999993</v>
      </c>
      <c r="R50" s="4"/>
      <c r="S50" s="4"/>
      <c r="T50" s="4"/>
      <c r="U50" s="4"/>
    </row>
    <row r="51" spans="1:21" ht="15.75" x14ac:dyDescent="0.25">
      <c r="A51" s="4"/>
      <c r="B51" s="4"/>
      <c r="C51" s="4"/>
      <c r="D51" s="4"/>
      <c r="E51" s="4"/>
      <c r="F51" s="4"/>
      <c r="G51" s="4" t="s">
        <v>94</v>
      </c>
      <c r="H51" s="4"/>
      <c r="I51" s="4"/>
      <c r="J51" s="4"/>
      <c r="K51" s="4"/>
      <c r="L51" s="4"/>
      <c r="M51" s="21"/>
      <c r="N51" s="21"/>
      <c r="O51" s="23"/>
      <c r="P51" s="13"/>
      <c r="Q51" s="23"/>
      <c r="R51" s="4"/>
      <c r="S51" s="4"/>
      <c r="T51" s="4"/>
      <c r="U51" s="4"/>
    </row>
    <row r="52" spans="1:21" ht="15.75" x14ac:dyDescent="0.25">
      <c r="A52" s="4"/>
      <c r="B52" s="4"/>
      <c r="C52" s="4"/>
      <c r="D52" s="4"/>
      <c r="E52" s="4"/>
      <c r="F52" s="4"/>
      <c r="G52" s="4" t="s">
        <v>113</v>
      </c>
      <c r="H52" s="9"/>
      <c r="I52" s="4"/>
      <c r="J52" s="4"/>
      <c r="K52" s="4"/>
      <c r="L52" s="18"/>
      <c r="M52" s="21"/>
      <c r="N52" s="21"/>
      <c r="O52" s="23"/>
      <c r="P52" s="13"/>
      <c r="Q52" s="23"/>
      <c r="R52" s="4"/>
      <c r="S52" s="4"/>
      <c r="T52" s="4"/>
      <c r="U52" s="4"/>
    </row>
    <row r="53" spans="1:21" ht="15.75" x14ac:dyDescent="0.25">
      <c r="A53" s="4"/>
      <c r="B53" s="4"/>
      <c r="C53" s="4"/>
      <c r="D53" s="4"/>
      <c r="E53" s="4"/>
      <c r="F53" s="4"/>
      <c r="G53" s="4" t="s">
        <v>124</v>
      </c>
      <c r="H53" s="9"/>
      <c r="I53" s="4"/>
      <c r="J53" s="4"/>
      <c r="K53" s="4"/>
      <c r="L53" s="18"/>
      <c r="M53" s="21"/>
      <c r="N53" s="21"/>
      <c r="O53" s="23"/>
      <c r="P53" s="13"/>
      <c r="Q53" s="23"/>
      <c r="R53" s="4"/>
      <c r="S53" s="4"/>
      <c r="T53" s="4"/>
      <c r="U53" s="4"/>
    </row>
    <row r="54" spans="1:21" ht="15.75" x14ac:dyDescent="0.25">
      <c r="A54" s="4"/>
      <c r="B54" s="4"/>
      <c r="C54" s="4"/>
      <c r="D54" s="4"/>
      <c r="E54" s="4"/>
      <c r="F54" s="4"/>
      <c r="G54" s="4" t="s">
        <v>60</v>
      </c>
      <c r="H54" s="9"/>
      <c r="I54" s="4"/>
      <c r="J54" s="4"/>
      <c r="K54" s="4"/>
      <c r="L54" s="18"/>
      <c r="M54" s="21"/>
      <c r="N54" s="21"/>
      <c r="O54" s="23"/>
      <c r="P54" s="13"/>
      <c r="Q54" s="23"/>
      <c r="R54" s="4"/>
      <c r="S54" s="4"/>
      <c r="T54" s="4"/>
      <c r="U54" s="4"/>
    </row>
    <row r="55" spans="1:21" ht="15.75" x14ac:dyDescent="0.25">
      <c r="A55" s="4"/>
      <c r="B55" s="4"/>
      <c r="C55" s="4"/>
      <c r="D55" s="4"/>
      <c r="E55" s="4"/>
      <c r="F55" s="4"/>
      <c r="G55" s="4" t="s">
        <v>67</v>
      </c>
      <c r="H55" s="4"/>
      <c r="I55" s="4"/>
      <c r="J55" s="4"/>
      <c r="K55" s="4"/>
      <c r="L55" s="18"/>
      <c r="M55" s="21"/>
      <c r="N55" s="21"/>
      <c r="O55" s="23"/>
      <c r="P55" s="13"/>
      <c r="Q55" s="23"/>
      <c r="R55" s="4"/>
      <c r="S55" s="4"/>
      <c r="T55" s="4"/>
      <c r="U55" s="4"/>
    </row>
    <row r="56" spans="1:21" ht="15.75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18"/>
      <c r="M56" s="21"/>
      <c r="N56" s="21"/>
      <c r="O56" s="23"/>
      <c r="P56" s="13"/>
      <c r="Q56" s="23"/>
      <c r="R56" s="4"/>
      <c r="S56" s="4"/>
      <c r="T56" s="4"/>
      <c r="U56" s="4"/>
    </row>
    <row r="57" spans="1:21" ht="15.75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18"/>
      <c r="M57" s="21"/>
      <c r="N57" s="21"/>
      <c r="O57" s="23"/>
      <c r="P57" s="13"/>
      <c r="Q57" s="23"/>
      <c r="R57" s="4"/>
      <c r="S57" s="4"/>
      <c r="T57" s="4"/>
      <c r="U57" s="4"/>
    </row>
    <row r="58" spans="1:21" ht="15.75" x14ac:dyDescent="0.25">
      <c r="A58" s="4"/>
      <c r="B58" s="4"/>
      <c r="C58" s="4"/>
      <c r="D58" s="4"/>
      <c r="E58" s="4"/>
      <c r="F58" s="4" t="s">
        <v>95</v>
      </c>
      <c r="G58" s="4" t="s">
        <v>79</v>
      </c>
      <c r="H58" s="4"/>
      <c r="I58" s="4"/>
      <c r="J58" s="4"/>
      <c r="K58" s="4"/>
      <c r="L58" s="18">
        <v>411</v>
      </c>
      <c r="M58" s="326" t="s">
        <v>9</v>
      </c>
      <c r="N58" s="21"/>
      <c r="O58" s="23">
        <v>8.31</v>
      </c>
      <c r="P58" s="13"/>
      <c r="Q58" s="23">
        <f>SUM(L58*O58)</f>
        <v>3415.4100000000003</v>
      </c>
      <c r="R58" s="4"/>
      <c r="S58" s="4"/>
      <c r="T58" s="4"/>
      <c r="U58" s="4"/>
    </row>
    <row r="59" spans="1:21" ht="15.75" x14ac:dyDescent="0.25">
      <c r="A59" s="4"/>
      <c r="B59" s="4"/>
      <c r="C59" s="4"/>
      <c r="D59" s="4"/>
      <c r="E59" s="4"/>
      <c r="F59" s="4"/>
      <c r="G59" s="4" t="s">
        <v>105</v>
      </c>
      <c r="H59" s="4"/>
      <c r="I59" s="4"/>
      <c r="J59" s="4"/>
      <c r="K59" s="4"/>
      <c r="L59" s="18"/>
      <c r="M59" s="21"/>
      <c r="N59" s="21"/>
      <c r="O59" s="23"/>
      <c r="P59" s="13"/>
      <c r="Q59" s="23"/>
      <c r="R59" s="4"/>
      <c r="S59" s="4"/>
      <c r="T59" s="4"/>
      <c r="U59" s="4"/>
    </row>
    <row r="60" spans="1:21" ht="15.75" x14ac:dyDescent="0.25">
      <c r="A60" s="4"/>
      <c r="B60" s="4"/>
      <c r="C60" s="4"/>
      <c r="D60" s="4"/>
      <c r="E60" s="4"/>
      <c r="F60" s="4"/>
      <c r="G60" s="4" t="s">
        <v>68</v>
      </c>
      <c r="H60" s="4"/>
      <c r="I60" s="4"/>
      <c r="J60" s="4"/>
      <c r="K60" s="4"/>
      <c r="L60" s="18"/>
      <c r="M60" s="21"/>
      <c r="N60" s="21"/>
      <c r="O60" s="23"/>
      <c r="P60" s="13"/>
      <c r="Q60" s="23"/>
      <c r="R60" s="4"/>
      <c r="S60" s="4"/>
      <c r="T60" s="4"/>
      <c r="U60" s="4"/>
    </row>
    <row r="61" spans="1:21" ht="15.75" x14ac:dyDescent="0.25">
      <c r="A61" s="4"/>
      <c r="B61" s="4"/>
      <c r="C61" s="4"/>
      <c r="D61" s="4"/>
      <c r="E61" s="4"/>
      <c r="F61" s="4"/>
      <c r="G61" s="4" t="s">
        <v>115</v>
      </c>
      <c r="H61" s="4"/>
      <c r="I61" s="4"/>
      <c r="J61" s="4"/>
      <c r="K61" s="4"/>
      <c r="L61" s="18"/>
      <c r="M61" s="21"/>
      <c r="N61" s="21"/>
      <c r="O61" s="23"/>
      <c r="P61" s="13"/>
      <c r="Q61" s="23"/>
      <c r="R61" s="4"/>
      <c r="S61" s="4"/>
      <c r="T61" s="4"/>
      <c r="U61" s="4"/>
    </row>
    <row r="62" spans="1:21" ht="15.75" x14ac:dyDescent="0.25">
      <c r="A62" s="4"/>
      <c r="B62" s="4"/>
      <c r="C62" s="4"/>
      <c r="D62" s="4"/>
      <c r="E62" s="4"/>
      <c r="F62" s="4"/>
      <c r="G62" s="4" t="s">
        <v>116</v>
      </c>
      <c r="H62" s="4"/>
      <c r="I62" s="4"/>
      <c r="J62" s="4"/>
      <c r="K62" s="4"/>
      <c r="L62" s="18"/>
      <c r="M62" s="21"/>
      <c r="N62" s="21"/>
      <c r="O62" s="23"/>
      <c r="P62" s="13"/>
      <c r="Q62" s="23"/>
      <c r="R62" s="4"/>
      <c r="S62" s="4"/>
      <c r="T62" s="4"/>
      <c r="U62" s="4"/>
    </row>
    <row r="63" spans="1:21" ht="15.75" x14ac:dyDescent="0.25">
      <c r="A63" s="4"/>
      <c r="B63" s="4"/>
      <c r="C63" s="4"/>
      <c r="D63" s="4"/>
      <c r="E63" s="4"/>
      <c r="F63" s="4"/>
      <c r="G63" s="4" t="s">
        <v>106</v>
      </c>
      <c r="H63" s="4"/>
      <c r="I63" s="4"/>
      <c r="J63" s="4"/>
      <c r="K63" s="4"/>
      <c r="L63" s="18"/>
      <c r="M63" s="21"/>
      <c r="N63" s="21"/>
      <c r="O63" s="23"/>
      <c r="P63" s="13"/>
      <c r="Q63" s="23"/>
      <c r="R63" s="4"/>
      <c r="S63" s="4"/>
      <c r="T63" s="4"/>
      <c r="U63" s="4"/>
    </row>
    <row r="64" spans="1:21" ht="15.75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8"/>
      <c r="M64" s="21"/>
      <c r="N64" s="21"/>
      <c r="O64" s="23"/>
      <c r="P64" s="13"/>
      <c r="Q64" s="23"/>
      <c r="R64" s="4"/>
      <c r="S64" s="4"/>
      <c r="T64" s="4"/>
      <c r="U64" s="4"/>
    </row>
    <row r="65" spans="1:21" ht="15.75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8"/>
      <c r="M65" s="21"/>
      <c r="N65" s="21"/>
      <c r="O65" s="23"/>
      <c r="P65" s="13"/>
      <c r="Q65" s="23"/>
      <c r="R65" s="4"/>
      <c r="S65" s="4"/>
      <c r="T65" s="4"/>
      <c r="U65" s="4"/>
    </row>
    <row r="66" spans="1:21" ht="15.75" x14ac:dyDescent="0.25">
      <c r="A66" s="4"/>
      <c r="B66" s="4"/>
      <c r="C66" s="4"/>
      <c r="D66" s="4"/>
      <c r="E66" s="4"/>
      <c r="F66" s="4" t="s">
        <v>96</v>
      </c>
      <c r="G66" s="4" t="s">
        <v>79</v>
      </c>
      <c r="H66" s="4"/>
      <c r="I66" s="4"/>
      <c r="J66" s="4"/>
      <c r="K66" s="4"/>
      <c r="L66" s="18">
        <v>206</v>
      </c>
      <c r="M66" s="326" t="s">
        <v>9</v>
      </c>
      <c r="N66" s="21"/>
      <c r="O66" s="23">
        <v>8.31</v>
      </c>
      <c r="P66" s="13"/>
      <c r="Q66" s="23">
        <f>SUM(L66*O66)</f>
        <v>1711.8600000000001</v>
      </c>
      <c r="R66" s="4"/>
      <c r="S66" s="4"/>
      <c r="T66" s="4"/>
      <c r="U66" s="4"/>
    </row>
    <row r="67" spans="1:21" ht="15.75" x14ac:dyDescent="0.25">
      <c r="A67" s="4"/>
      <c r="B67" s="4"/>
      <c r="C67" s="4"/>
      <c r="D67" s="4"/>
      <c r="E67" s="4"/>
      <c r="F67" s="4"/>
      <c r="G67" s="4" t="s">
        <v>107</v>
      </c>
      <c r="H67" s="4"/>
      <c r="I67" s="4"/>
      <c r="J67" s="4"/>
      <c r="K67" s="4"/>
      <c r="L67" s="18"/>
      <c r="M67" s="21"/>
      <c r="N67" s="21"/>
      <c r="O67" s="23"/>
      <c r="P67" s="13"/>
      <c r="Q67" s="23"/>
      <c r="R67" s="4"/>
      <c r="S67" s="4"/>
      <c r="T67" s="4"/>
      <c r="U67" s="4"/>
    </row>
    <row r="68" spans="1:21" ht="15.75" x14ac:dyDescent="0.25">
      <c r="A68" s="4"/>
      <c r="B68" s="4"/>
      <c r="C68" s="4"/>
      <c r="D68" s="4"/>
      <c r="E68" s="4"/>
      <c r="F68" s="4"/>
      <c r="G68" s="4" t="s">
        <v>68</v>
      </c>
      <c r="H68" s="4"/>
      <c r="I68" s="4"/>
      <c r="J68" s="4"/>
      <c r="K68" s="4"/>
      <c r="L68" s="18"/>
      <c r="M68" s="21"/>
      <c r="N68" s="21"/>
      <c r="O68" s="23"/>
      <c r="P68" s="13"/>
      <c r="Q68" s="23"/>
      <c r="R68" s="4"/>
      <c r="S68" s="4"/>
      <c r="T68" s="4"/>
      <c r="U68" s="4"/>
    </row>
    <row r="69" spans="1:21" ht="15.75" x14ac:dyDescent="0.25">
      <c r="A69" s="4"/>
      <c r="B69" s="4"/>
      <c r="C69" s="4"/>
      <c r="D69" s="4"/>
      <c r="E69" s="4"/>
      <c r="F69" s="4"/>
      <c r="G69" s="4" t="s">
        <v>117</v>
      </c>
      <c r="H69" s="4"/>
      <c r="I69" s="4"/>
      <c r="J69" s="4"/>
      <c r="K69" s="4"/>
      <c r="L69" s="18"/>
      <c r="M69" s="21"/>
      <c r="N69" s="21"/>
      <c r="O69" s="23"/>
      <c r="P69" s="13"/>
      <c r="Q69" s="23"/>
      <c r="R69" s="4"/>
      <c r="S69" s="4"/>
      <c r="T69" s="4"/>
      <c r="U69" s="4"/>
    </row>
    <row r="70" spans="1:21" ht="15.75" x14ac:dyDescent="0.25">
      <c r="A70" s="4"/>
      <c r="B70" s="4"/>
      <c r="C70" s="4"/>
      <c r="D70" s="4"/>
      <c r="E70" s="4"/>
      <c r="F70" s="4"/>
      <c r="G70" s="4" t="s">
        <v>60</v>
      </c>
      <c r="H70" s="4"/>
      <c r="I70" s="4"/>
      <c r="J70" s="4"/>
      <c r="K70" s="4"/>
      <c r="L70" s="18"/>
      <c r="M70" s="21"/>
      <c r="N70" s="21"/>
      <c r="O70" s="23"/>
      <c r="P70" s="13"/>
      <c r="Q70" s="23"/>
      <c r="R70" s="4"/>
      <c r="S70" s="4"/>
      <c r="T70" s="4"/>
      <c r="U70" s="4"/>
    </row>
    <row r="71" spans="1:21" ht="15.75" x14ac:dyDescent="0.25">
      <c r="A71" s="4"/>
      <c r="B71" s="4"/>
      <c r="C71" s="4"/>
      <c r="D71" s="4"/>
      <c r="E71" s="4"/>
      <c r="F71" s="4"/>
      <c r="G71" s="4" t="s">
        <v>66</v>
      </c>
      <c r="H71" s="4"/>
      <c r="I71" s="4"/>
      <c r="J71" s="4"/>
      <c r="K71" s="4"/>
      <c r="L71" s="18"/>
      <c r="M71" s="21"/>
      <c r="N71" s="21"/>
      <c r="O71" s="23"/>
      <c r="P71" s="13"/>
      <c r="Q71" s="23"/>
      <c r="R71" s="4"/>
      <c r="S71" s="4"/>
      <c r="T71" s="4"/>
      <c r="U71" s="4"/>
    </row>
    <row r="72" spans="1:21" ht="15.75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8"/>
      <c r="M72" s="21"/>
      <c r="N72" s="21"/>
      <c r="O72" s="23"/>
      <c r="P72" s="13"/>
      <c r="Q72" s="23"/>
      <c r="R72" s="4"/>
      <c r="S72" s="4"/>
      <c r="T72" s="4"/>
      <c r="U72" s="4"/>
    </row>
    <row r="73" spans="1:21" ht="15.75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8"/>
      <c r="M73" s="21"/>
      <c r="N73" s="21"/>
      <c r="O73" s="23"/>
      <c r="P73" s="13"/>
      <c r="Q73" s="23"/>
      <c r="R73" s="4"/>
      <c r="S73" s="4"/>
      <c r="T73" s="4"/>
      <c r="U73" s="4"/>
    </row>
    <row r="74" spans="1:21" ht="15.75" x14ac:dyDescent="0.25">
      <c r="A74" s="4"/>
      <c r="B74" s="4"/>
      <c r="C74" s="4"/>
      <c r="D74" s="4"/>
      <c r="E74" s="4"/>
      <c r="F74" s="4" t="s">
        <v>97</v>
      </c>
      <c r="G74" s="4" t="s">
        <v>79</v>
      </c>
      <c r="H74" s="4"/>
      <c r="I74" s="4"/>
      <c r="J74" s="4"/>
      <c r="K74" s="4"/>
      <c r="L74" s="18">
        <v>203</v>
      </c>
      <c r="M74" s="326" t="s">
        <v>9</v>
      </c>
      <c r="N74" s="21"/>
      <c r="O74" s="23">
        <v>8.31</v>
      </c>
      <c r="P74" s="13"/>
      <c r="Q74" s="23">
        <f>SUM(L74*O74)</f>
        <v>1686.93</v>
      </c>
      <c r="R74" s="4"/>
      <c r="S74" s="4"/>
      <c r="T74" s="4"/>
      <c r="U74" s="4"/>
    </row>
    <row r="75" spans="1:21" ht="15.75" x14ac:dyDescent="0.25">
      <c r="A75" s="4"/>
      <c r="B75" s="4"/>
      <c r="C75" s="4"/>
      <c r="D75" s="4"/>
      <c r="E75" s="4"/>
      <c r="F75" s="4"/>
      <c r="G75" s="4" t="s">
        <v>80</v>
      </c>
      <c r="H75" s="4"/>
      <c r="I75" s="4"/>
      <c r="J75" s="4"/>
      <c r="K75" s="4"/>
      <c r="L75" s="18"/>
      <c r="M75" s="21"/>
      <c r="N75" s="21"/>
      <c r="O75" s="23"/>
      <c r="P75" s="13"/>
      <c r="Q75" s="23"/>
      <c r="R75" s="4"/>
      <c r="S75" s="4"/>
      <c r="T75" s="4"/>
      <c r="U75" s="4"/>
    </row>
    <row r="76" spans="1:21" ht="15.75" x14ac:dyDescent="0.25">
      <c r="A76" s="4"/>
      <c r="B76" s="4"/>
      <c r="C76" s="4"/>
      <c r="D76" s="4"/>
      <c r="E76" s="4"/>
      <c r="F76" s="4"/>
      <c r="G76" s="4" t="s">
        <v>68</v>
      </c>
      <c r="H76" s="4"/>
      <c r="I76" s="4"/>
      <c r="J76" s="4"/>
      <c r="K76" s="4"/>
      <c r="L76" s="18"/>
      <c r="M76" s="21"/>
      <c r="N76" s="21"/>
      <c r="O76" s="23"/>
      <c r="P76" s="13"/>
      <c r="Q76" s="23"/>
      <c r="R76" s="4"/>
      <c r="S76" s="4"/>
      <c r="T76" s="4"/>
      <c r="U76" s="4"/>
    </row>
    <row r="77" spans="1:21" ht="15.75" x14ac:dyDescent="0.25">
      <c r="A77" s="4"/>
      <c r="B77" s="4"/>
      <c r="C77" s="4"/>
      <c r="D77" s="4"/>
      <c r="E77" s="4"/>
      <c r="F77" s="4"/>
      <c r="G77" s="4" t="s">
        <v>82</v>
      </c>
      <c r="H77" s="4"/>
      <c r="I77" s="4"/>
      <c r="J77" s="4"/>
      <c r="K77" s="4"/>
      <c r="L77" s="18"/>
      <c r="M77" s="21"/>
      <c r="N77" s="21"/>
      <c r="O77" s="23"/>
      <c r="P77" s="13"/>
      <c r="Q77" s="23"/>
      <c r="R77" s="4"/>
      <c r="S77" s="4"/>
      <c r="T77" s="4"/>
      <c r="U77" s="4"/>
    </row>
    <row r="78" spans="1:21" ht="15.75" x14ac:dyDescent="0.25">
      <c r="A78" s="4"/>
      <c r="B78" s="4"/>
      <c r="C78" s="4"/>
      <c r="D78" s="4"/>
      <c r="E78" s="4"/>
      <c r="F78" s="4"/>
      <c r="G78" s="4" t="s">
        <v>60</v>
      </c>
      <c r="H78" s="4"/>
      <c r="I78" s="4"/>
      <c r="J78" s="4"/>
      <c r="K78" s="4"/>
      <c r="L78" s="18"/>
      <c r="M78" s="21"/>
      <c r="N78" s="21"/>
      <c r="O78" s="23"/>
      <c r="P78" s="13"/>
      <c r="Q78" s="23"/>
      <c r="R78" s="4"/>
      <c r="S78" s="4"/>
      <c r="T78" s="4"/>
      <c r="U78" s="4"/>
    </row>
    <row r="79" spans="1:21" ht="15.75" x14ac:dyDescent="0.25">
      <c r="A79" s="4"/>
      <c r="B79" s="4"/>
      <c r="C79" s="4"/>
      <c r="D79" s="4"/>
      <c r="E79" s="4"/>
      <c r="F79" s="4"/>
      <c r="G79" s="4" t="s">
        <v>66</v>
      </c>
      <c r="H79" s="4"/>
      <c r="I79" s="4"/>
      <c r="J79" s="4"/>
      <c r="K79" s="4"/>
      <c r="L79" s="18"/>
      <c r="M79" s="21"/>
      <c r="N79" s="21"/>
      <c r="O79" s="23"/>
      <c r="P79" s="13"/>
      <c r="Q79" s="23"/>
      <c r="R79" s="4"/>
      <c r="S79" s="4"/>
      <c r="T79" s="4"/>
      <c r="U79" s="4"/>
    </row>
    <row r="80" spans="1:21" ht="15.75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8"/>
      <c r="M80" s="21"/>
      <c r="N80" s="21"/>
      <c r="O80" s="23"/>
      <c r="P80" s="13"/>
      <c r="Q80" s="23"/>
      <c r="R80" s="4"/>
      <c r="S80" s="4"/>
      <c r="T80" s="4"/>
      <c r="U80" s="4"/>
    </row>
    <row r="81" spans="1:21" ht="15.75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8"/>
      <c r="M81" s="21"/>
      <c r="N81" s="21"/>
      <c r="O81" s="23"/>
      <c r="P81" s="13"/>
      <c r="Q81" s="23"/>
      <c r="R81" s="4"/>
      <c r="S81" s="4"/>
      <c r="T81" s="4"/>
      <c r="U81" s="4"/>
    </row>
    <row r="82" spans="1:21" ht="15.75" x14ac:dyDescent="0.25">
      <c r="A82" s="4"/>
      <c r="B82" s="4"/>
      <c r="C82" s="4"/>
      <c r="D82" s="4"/>
      <c r="E82" s="4"/>
      <c r="F82" s="4" t="s">
        <v>98</v>
      </c>
      <c r="G82" s="4" t="s">
        <v>79</v>
      </c>
      <c r="H82" s="4"/>
      <c r="I82" s="4"/>
      <c r="J82" s="4"/>
      <c r="K82" s="4"/>
      <c r="L82" s="18">
        <v>203</v>
      </c>
      <c r="M82" s="326" t="s">
        <v>9</v>
      </c>
      <c r="N82" s="21"/>
      <c r="O82" s="23">
        <v>8.31</v>
      </c>
      <c r="P82" s="13"/>
      <c r="Q82" s="23">
        <f>SUM(L82*O82)</f>
        <v>1686.93</v>
      </c>
      <c r="R82" s="4"/>
      <c r="S82" s="4"/>
      <c r="T82" s="4"/>
      <c r="U82" s="4"/>
    </row>
    <row r="83" spans="1:21" ht="15.75" x14ac:dyDescent="0.25">
      <c r="A83" s="4"/>
      <c r="B83" s="4"/>
      <c r="C83" s="4"/>
      <c r="D83" s="4"/>
      <c r="E83" s="4"/>
      <c r="F83" s="4"/>
      <c r="G83" s="4" t="s">
        <v>108</v>
      </c>
      <c r="H83" s="4"/>
      <c r="I83" s="4"/>
      <c r="J83" s="4"/>
      <c r="K83" s="4"/>
      <c r="L83" s="18"/>
      <c r="M83" s="21"/>
      <c r="N83" s="21"/>
      <c r="O83" s="23"/>
      <c r="P83" s="13"/>
      <c r="Q83" s="23"/>
      <c r="R83" s="4"/>
      <c r="S83" s="4"/>
      <c r="T83" s="4"/>
      <c r="U83" s="4"/>
    </row>
    <row r="84" spans="1:21" ht="15.75" x14ac:dyDescent="0.25">
      <c r="A84" s="4"/>
      <c r="B84" s="4"/>
      <c r="C84" s="4"/>
      <c r="D84" s="4"/>
      <c r="E84" s="4"/>
      <c r="F84" s="4"/>
      <c r="G84" s="4" t="s">
        <v>68</v>
      </c>
      <c r="H84" s="4"/>
      <c r="I84" s="4"/>
      <c r="J84" s="4"/>
      <c r="K84" s="4"/>
      <c r="L84" s="18"/>
      <c r="M84" s="21"/>
      <c r="N84" s="21"/>
      <c r="O84" s="23"/>
      <c r="P84" s="13"/>
      <c r="Q84" s="23"/>
      <c r="R84" s="4"/>
      <c r="S84" s="4"/>
      <c r="T84" s="4"/>
      <c r="U84" s="4"/>
    </row>
    <row r="85" spans="1:21" ht="15.75" x14ac:dyDescent="0.25">
      <c r="A85" s="4"/>
      <c r="B85" s="4"/>
      <c r="C85" s="4"/>
      <c r="D85" s="4"/>
      <c r="E85" s="4"/>
      <c r="F85" s="4"/>
      <c r="G85" s="4" t="s">
        <v>118</v>
      </c>
      <c r="H85" s="4"/>
      <c r="I85" s="4"/>
      <c r="J85" s="4"/>
      <c r="K85" s="4"/>
      <c r="L85" s="18"/>
      <c r="M85" s="21"/>
      <c r="N85" s="21"/>
      <c r="O85" s="23"/>
      <c r="P85" s="13"/>
      <c r="Q85" s="23"/>
      <c r="R85" s="4"/>
      <c r="S85" s="4"/>
      <c r="T85" s="4"/>
      <c r="U85" s="4"/>
    </row>
    <row r="86" spans="1:21" ht="15.75" x14ac:dyDescent="0.25">
      <c r="A86" s="4"/>
      <c r="B86" s="4"/>
      <c r="C86" s="4"/>
      <c r="D86" s="4"/>
      <c r="E86" s="4"/>
      <c r="F86" s="4"/>
      <c r="G86" s="4" t="s">
        <v>112</v>
      </c>
      <c r="H86" s="4"/>
      <c r="I86" s="4"/>
      <c r="J86" s="4"/>
      <c r="K86" s="4"/>
      <c r="L86" s="18"/>
      <c r="M86" s="21"/>
      <c r="N86" s="21"/>
      <c r="O86" s="23"/>
      <c r="P86" s="13"/>
      <c r="Q86" s="23"/>
      <c r="R86" s="4"/>
      <c r="S86" s="4"/>
      <c r="T86" s="4"/>
      <c r="U86" s="4"/>
    </row>
    <row r="87" spans="1:21" ht="15.75" x14ac:dyDescent="0.25">
      <c r="A87" s="4"/>
      <c r="B87" s="4"/>
      <c r="C87" s="4"/>
      <c r="D87" s="4"/>
      <c r="E87" s="4"/>
      <c r="F87" s="4"/>
      <c r="G87" s="4" t="s">
        <v>66</v>
      </c>
      <c r="H87" s="4"/>
      <c r="I87" s="4"/>
      <c r="J87" s="4"/>
      <c r="K87" s="4"/>
      <c r="L87" s="18"/>
      <c r="M87" s="21"/>
      <c r="N87" s="21"/>
      <c r="O87" s="23"/>
      <c r="P87" s="13"/>
      <c r="Q87" s="23"/>
      <c r="R87" s="4"/>
      <c r="S87" s="4"/>
      <c r="T87" s="4"/>
      <c r="U87" s="4"/>
    </row>
    <row r="88" spans="1:21" ht="15.75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8"/>
      <c r="M88" s="21"/>
      <c r="N88" s="21"/>
      <c r="O88" s="23"/>
      <c r="P88" s="13"/>
      <c r="Q88" s="23"/>
      <c r="R88" s="4"/>
      <c r="S88" s="4"/>
      <c r="T88" s="4"/>
      <c r="U88" s="4"/>
    </row>
    <row r="89" spans="1:21" ht="15.75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8"/>
      <c r="M89" s="21"/>
      <c r="N89" s="21"/>
      <c r="O89" s="23"/>
      <c r="P89" s="13"/>
      <c r="Q89" s="23"/>
      <c r="R89" s="4"/>
      <c r="S89" s="4"/>
      <c r="T89" s="4"/>
      <c r="U89" s="4"/>
    </row>
    <row r="90" spans="1:21" ht="15.75" x14ac:dyDescent="0.25">
      <c r="A90" s="4"/>
      <c r="B90" s="4"/>
      <c r="C90" s="4"/>
      <c r="D90" s="4"/>
      <c r="E90" s="4"/>
      <c r="F90" s="4" t="s">
        <v>99</v>
      </c>
      <c r="G90" s="4" t="s">
        <v>79</v>
      </c>
      <c r="H90" s="4"/>
      <c r="I90" s="4"/>
      <c r="J90" s="4"/>
      <c r="K90" s="4"/>
      <c r="L90" s="18">
        <v>214</v>
      </c>
      <c r="M90" s="326" t="s">
        <v>9</v>
      </c>
      <c r="N90" s="21"/>
      <c r="O90" s="23">
        <v>8.31</v>
      </c>
      <c r="P90" s="13"/>
      <c r="Q90" s="23">
        <f>SUM(L90*O90)</f>
        <v>1778.3400000000001</v>
      </c>
      <c r="R90" s="4"/>
      <c r="S90" s="4"/>
      <c r="T90" s="4"/>
      <c r="U90" s="4"/>
    </row>
    <row r="91" spans="1:21" ht="15.75" x14ac:dyDescent="0.25">
      <c r="A91" s="4"/>
      <c r="B91" s="4"/>
      <c r="C91" s="4"/>
      <c r="D91" s="4"/>
      <c r="E91" s="4"/>
      <c r="F91" s="4"/>
      <c r="G91" s="4" t="s">
        <v>104</v>
      </c>
      <c r="H91" s="4"/>
      <c r="I91" s="4"/>
      <c r="J91" s="4"/>
      <c r="K91" s="4"/>
      <c r="L91" s="18"/>
      <c r="M91" s="21"/>
      <c r="N91" s="21"/>
      <c r="O91" s="23"/>
      <c r="P91" s="13"/>
      <c r="Q91" s="23"/>
      <c r="R91" s="4"/>
      <c r="S91" s="4"/>
      <c r="T91" s="4"/>
      <c r="U91" s="4"/>
    </row>
    <row r="92" spans="1:21" ht="15.75" x14ac:dyDescent="0.25">
      <c r="A92" s="4"/>
      <c r="B92" s="4"/>
      <c r="C92" s="4"/>
      <c r="D92" s="4"/>
      <c r="E92" s="4"/>
      <c r="F92" s="4"/>
      <c r="G92" s="4" t="s">
        <v>68</v>
      </c>
      <c r="H92" s="4"/>
      <c r="I92" s="4"/>
      <c r="J92" s="4"/>
      <c r="K92" s="4"/>
      <c r="L92" s="18"/>
      <c r="M92" s="21"/>
      <c r="N92" s="21"/>
      <c r="O92" s="23"/>
      <c r="P92" s="13"/>
      <c r="Q92" s="23"/>
      <c r="R92" s="4"/>
      <c r="S92" s="4"/>
      <c r="T92" s="4"/>
      <c r="U92" s="4"/>
    </row>
    <row r="93" spans="1:21" ht="15.75" x14ac:dyDescent="0.25">
      <c r="A93" s="4"/>
      <c r="B93" s="4"/>
      <c r="C93" s="4"/>
      <c r="D93" s="4"/>
      <c r="E93" s="4"/>
      <c r="F93" s="4"/>
      <c r="G93" s="4" t="s">
        <v>119</v>
      </c>
      <c r="H93" s="4"/>
      <c r="I93" s="4"/>
      <c r="J93" s="4"/>
      <c r="K93" s="4"/>
      <c r="L93" s="18"/>
      <c r="M93" s="21"/>
      <c r="N93" s="21"/>
      <c r="O93" s="23"/>
      <c r="P93" s="13"/>
      <c r="Q93" s="23"/>
      <c r="R93" s="4"/>
      <c r="S93" s="4"/>
      <c r="T93" s="4"/>
      <c r="U93" s="4"/>
    </row>
    <row r="94" spans="1:21" ht="15.75" x14ac:dyDescent="0.25">
      <c r="A94" s="4"/>
      <c r="B94" s="4"/>
      <c r="C94" s="4"/>
      <c r="D94" s="4"/>
      <c r="E94" s="4"/>
      <c r="F94" s="4"/>
      <c r="G94" s="4" t="s">
        <v>60</v>
      </c>
      <c r="H94" s="4"/>
      <c r="I94" s="4"/>
      <c r="J94" s="4"/>
      <c r="K94" s="4"/>
      <c r="L94" s="18"/>
      <c r="M94" s="21"/>
      <c r="N94" s="21"/>
      <c r="O94" s="23"/>
      <c r="P94" s="13"/>
      <c r="Q94" s="23"/>
      <c r="R94" s="4"/>
      <c r="S94" s="4"/>
      <c r="T94" s="4"/>
      <c r="U94" s="4"/>
    </row>
    <row r="95" spans="1:21" ht="15.75" x14ac:dyDescent="0.25">
      <c r="A95" s="4"/>
      <c r="B95" s="4"/>
      <c r="C95" s="4"/>
      <c r="D95" s="4"/>
      <c r="E95" s="4"/>
      <c r="F95" s="4"/>
      <c r="G95" s="4" t="s">
        <v>66</v>
      </c>
      <c r="H95" s="4"/>
      <c r="I95" s="4"/>
      <c r="J95" s="4"/>
      <c r="K95" s="4"/>
      <c r="L95" s="18"/>
      <c r="M95" s="21"/>
      <c r="N95" s="21"/>
      <c r="O95" s="23"/>
      <c r="P95" s="13"/>
      <c r="Q95" s="23"/>
      <c r="R95" s="4"/>
      <c r="S95" s="4"/>
      <c r="T95" s="4"/>
      <c r="U95" s="4"/>
    </row>
    <row r="96" spans="1:21" ht="15.75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18"/>
      <c r="M96" s="21"/>
      <c r="N96" s="21"/>
      <c r="O96" s="23"/>
      <c r="P96" s="13"/>
      <c r="Q96" s="23"/>
      <c r="R96" s="4"/>
      <c r="S96" s="4"/>
      <c r="T96" s="4"/>
      <c r="U96" s="4"/>
    </row>
    <row r="97" spans="1:21" ht="15.75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18"/>
      <c r="M97" s="21"/>
      <c r="N97" s="21"/>
      <c r="O97" s="23"/>
      <c r="P97" s="13"/>
      <c r="Q97" s="23"/>
      <c r="R97" s="4"/>
      <c r="S97" s="4"/>
      <c r="T97" s="4"/>
      <c r="U97" s="4"/>
    </row>
    <row r="98" spans="1:21" ht="15.75" x14ac:dyDescent="0.25">
      <c r="A98" s="4"/>
      <c r="B98" s="4"/>
      <c r="C98" s="4"/>
      <c r="D98" s="4"/>
      <c r="E98" s="4"/>
      <c r="F98" s="4" t="s">
        <v>100</v>
      </c>
      <c r="G98" s="4" t="s">
        <v>81</v>
      </c>
      <c r="H98" s="4"/>
      <c r="I98" s="4"/>
      <c r="J98" s="4"/>
      <c r="K98" s="4"/>
      <c r="L98" s="18">
        <v>109</v>
      </c>
      <c r="M98" s="326" t="s">
        <v>9</v>
      </c>
      <c r="N98" s="21"/>
      <c r="O98" s="23">
        <v>6.96</v>
      </c>
      <c r="P98" s="13"/>
      <c r="Q98" s="23">
        <f>SUM(L98*O98)</f>
        <v>758.64</v>
      </c>
      <c r="R98" s="4"/>
      <c r="S98" s="4"/>
      <c r="T98" s="4"/>
      <c r="U98" s="4"/>
    </row>
    <row r="99" spans="1:21" ht="15.75" x14ac:dyDescent="0.25">
      <c r="A99" s="4"/>
      <c r="B99" s="4"/>
      <c r="C99" s="4"/>
      <c r="D99" s="4"/>
      <c r="E99" s="4"/>
      <c r="F99" s="4"/>
      <c r="G99" s="4" t="s">
        <v>109</v>
      </c>
      <c r="H99" s="4"/>
      <c r="I99" s="4"/>
      <c r="J99" s="4"/>
      <c r="K99" s="4"/>
      <c r="L99" s="18"/>
      <c r="M99" s="21"/>
      <c r="N99" s="21"/>
      <c r="O99" s="23"/>
      <c r="P99" s="13"/>
      <c r="Q99" s="23"/>
      <c r="R99" s="4"/>
      <c r="S99" s="4"/>
      <c r="T99" s="4"/>
      <c r="U99" s="4"/>
    </row>
    <row r="100" spans="1:21" ht="16.5" x14ac:dyDescent="0.25">
      <c r="A100" s="4"/>
      <c r="B100" s="4"/>
      <c r="C100" s="4"/>
      <c r="D100" s="4"/>
      <c r="E100" s="4"/>
      <c r="F100" s="4"/>
      <c r="G100" s="4" t="s">
        <v>120</v>
      </c>
      <c r="H100" s="4"/>
      <c r="I100" s="4"/>
      <c r="J100"/>
      <c r="K100"/>
      <c r="L100"/>
      <c r="M100" s="21"/>
      <c r="N100" s="21"/>
      <c r="O100" s="23"/>
      <c r="P100" s="13"/>
      <c r="Q100" s="23"/>
      <c r="R100" s="4"/>
      <c r="S100" s="4"/>
      <c r="T100" s="4"/>
      <c r="U100" s="4"/>
    </row>
    <row r="101" spans="1:21" ht="16.5" x14ac:dyDescent="0.25">
      <c r="A101" s="4"/>
      <c r="B101" s="4"/>
      <c r="C101" s="4"/>
      <c r="D101" s="4"/>
      <c r="E101" s="4"/>
      <c r="F101" s="4"/>
      <c r="G101" s="4" t="s">
        <v>121</v>
      </c>
      <c r="H101" s="4"/>
      <c r="I101" s="4"/>
      <c r="J101"/>
      <c r="K101"/>
      <c r="L101"/>
      <c r="M101" s="21"/>
      <c r="N101" s="21"/>
      <c r="O101" s="23"/>
      <c r="P101" s="13"/>
      <c r="Q101" s="23"/>
      <c r="R101" s="4"/>
      <c r="S101" s="4"/>
      <c r="T101" s="4"/>
      <c r="U101" s="4"/>
    </row>
    <row r="102" spans="1:21" ht="16.5" x14ac:dyDescent="0.25">
      <c r="A102" s="4"/>
      <c r="B102" s="4"/>
      <c r="C102" s="4"/>
      <c r="D102" s="4"/>
      <c r="E102" s="4"/>
      <c r="F102" s="4"/>
      <c r="G102" s="4" t="s">
        <v>122</v>
      </c>
      <c r="H102" s="4"/>
      <c r="I102" s="4"/>
      <c r="J102"/>
      <c r="K102"/>
      <c r="L102"/>
      <c r="M102" s="21"/>
      <c r="N102" s="21"/>
      <c r="O102" s="23"/>
      <c r="P102" s="13"/>
      <c r="Q102" s="23"/>
      <c r="R102" s="4"/>
      <c r="S102" s="4"/>
      <c r="T102" s="4"/>
      <c r="U102" s="4"/>
    </row>
    <row r="103" spans="1:21" ht="15.75" x14ac:dyDescent="0.25">
      <c r="A103" s="4"/>
      <c r="B103" s="4"/>
      <c r="C103" s="4"/>
      <c r="D103" s="4"/>
      <c r="E103" s="4"/>
      <c r="F103" s="4"/>
      <c r="G103" s="4" t="s">
        <v>66</v>
      </c>
      <c r="H103" s="4"/>
      <c r="I103" s="4"/>
      <c r="J103" s="4"/>
      <c r="K103" s="4"/>
      <c r="L103" s="18"/>
      <c r="M103" s="21"/>
      <c r="N103" s="21"/>
      <c r="O103" s="23"/>
      <c r="P103" s="13"/>
      <c r="Q103" s="23"/>
      <c r="R103" s="4"/>
      <c r="S103" s="4"/>
      <c r="T103" s="4"/>
      <c r="U103" s="4"/>
    </row>
    <row r="104" spans="1:21" ht="15.75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18"/>
      <c r="M104" s="21"/>
      <c r="N104" s="21"/>
      <c r="O104" s="23"/>
      <c r="P104" s="13"/>
      <c r="Q104" s="23"/>
      <c r="R104" s="4"/>
      <c r="S104" s="4"/>
      <c r="T104" s="4"/>
      <c r="U104" s="4"/>
    </row>
    <row r="105" spans="1:21" ht="15.75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18"/>
      <c r="M105" s="21"/>
      <c r="N105" s="21"/>
      <c r="O105" s="23"/>
      <c r="P105" s="13"/>
      <c r="Q105" s="23"/>
      <c r="R105" s="4"/>
      <c r="S105" s="4"/>
      <c r="T105" s="4"/>
      <c r="U105" s="4"/>
    </row>
    <row r="106" spans="1:21" ht="15.75" x14ac:dyDescent="0.25">
      <c r="A106" s="4"/>
      <c r="B106" s="4"/>
      <c r="C106" s="4"/>
      <c r="D106" s="4"/>
      <c r="E106" s="4"/>
      <c r="F106" s="4" t="s">
        <v>101</v>
      </c>
      <c r="G106" s="4" t="s">
        <v>103</v>
      </c>
      <c r="H106" s="4"/>
      <c r="I106" s="4"/>
      <c r="J106" s="4"/>
      <c r="K106" s="4"/>
      <c r="L106" s="18">
        <v>305</v>
      </c>
      <c r="M106" s="326" t="s">
        <v>9</v>
      </c>
      <c r="N106" s="21"/>
      <c r="O106" s="23">
        <v>8.31</v>
      </c>
      <c r="P106" s="13"/>
      <c r="Q106" s="23">
        <f>SUM(L106*O106)</f>
        <v>2534.5500000000002</v>
      </c>
      <c r="R106" s="4"/>
      <c r="S106" s="4"/>
      <c r="T106" s="4"/>
      <c r="U106" s="4"/>
    </row>
    <row r="107" spans="1:21" ht="15.75" x14ac:dyDescent="0.25">
      <c r="A107" s="4"/>
      <c r="B107" s="4"/>
      <c r="C107" s="4"/>
      <c r="D107" s="4"/>
      <c r="E107" s="4"/>
      <c r="F107" s="4"/>
      <c r="G107" s="4" t="s">
        <v>107</v>
      </c>
      <c r="H107" s="4"/>
      <c r="I107" s="4"/>
      <c r="J107" s="4"/>
      <c r="K107" s="4"/>
      <c r="L107" s="18"/>
      <c r="M107" s="21"/>
      <c r="N107" s="21"/>
      <c r="O107" s="23"/>
      <c r="P107" s="13"/>
      <c r="Q107" s="23"/>
      <c r="R107" s="4"/>
      <c r="S107" s="4"/>
      <c r="T107" s="4"/>
      <c r="U107" s="4"/>
    </row>
    <row r="108" spans="1:21" ht="15.75" x14ac:dyDescent="0.25">
      <c r="A108" s="4"/>
      <c r="B108" s="4"/>
      <c r="C108" s="4"/>
      <c r="D108" s="4"/>
      <c r="E108" s="4"/>
      <c r="F108" s="4"/>
      <c r="G108" s="4" t="s">
        <v>68</v>
      </c>
      <c r="H108" s="4"/>
      <c r="I108" s="4"/>
      <c r="J108" s="4"/>
      <c r="K108" s="4"/>
      <c r="L108" s="18"/>
      <c r="M108" s="21"/>
      <c r="N108" s="21"/>
      <c r="O108" s="23"/>
      <c r="P108" s="13"/>
      <c r="Q108" s="23"/>
      <c r="R108" s="4"/>
      <c r="S108" s="4"/>
      <c r="T108" s="4"/>
      <c r="U108" s="4"/>
    </row>
    <row r="109" spans="1:21" ht="15.75" x14ac:dyDescent="0.25">
      <c r="A109" s="4"/>
      <c r="B109" s="4"/>
      <c r="C109" s="4"/>
      <c r="D109" s="4"/>
      <c r="E109" s="4"/>
      <c r="F109" s="4"/>
      <c r="G109" s="4" t="s">
        <v>117</v>
      </c>
      <c r="H109" s="4"/>
      <c r="I109" s="4"/>
      <c r="J109" s="4"/>
      <c r="K109" s="4"/>
      <c r="L109" s="18"/>
      <c r="M109" s="21"/>
      <c r="N109" s="21"/>
      <c r="O109" s="23"/>
      <c r="P109" s="13"/>
      <c r="Q109" s="23"/>
      <c r="R109" s="4"/>
      <c r="S109" s="4"/>
      <c r="T109" s="4"/>
      <c r="U109" s="4"/>
    </row>
    <row r="110" spans="1:21" ht="15.75" x14ac:dyDescent="0.25">
      <c r="A110" s="4"/>
      <c r="B110" s="4"/>
      <c r="C110" s="4"/>
      <c r="D110" s="4"/>
      <c r="E110" s="4"/>
      <c r="F110" s="4"/>
      <c r="G110" s="4" t="s">
        <v>60</v>
      </c>
      <c r="H110" s="4"/>
      <c r="I110" s="4"/>
      <c r="J110" s="4"/>
      <c r="K110" s="4"/>
      <c r="L110" s="18"/>
      <c r="M110" s="21"/>
      <c r="N110" s="21"/>
      <c r="O110" s="23"/>
      <c r="P110" s="13"/>
      <c r="Q110" s="23"/>
      <c r="R110" s="4"/>
      <c r="S110" s="4"/>
      <c r="T110" s="4"/>
      <c r="U110" s="4"/>
    </row>
    <row r="111" spans="1:21" ht="15.75" x14ac:dyDescent="0.25">
      <c r="A111" s="4"/>
      <c r="B111" s="4"/>
      <c r="C111" s="4"/>
      <c r="D111" s="4"/>
      <c r="E111" s="4"/>
      <c r="F111" s="4"/>
      <c r="G111" s="4" t="s">
        <v>66</v>
      </c>
      <c r="H111" s="4"/>
      <c r="I111" s="4"/>
      <c r="J111" s="4"/>
      <c r="K111" s="4"/>
      <c r="L111" s="18"/>
      <c r="M111" s="21"/>
      <c r="N111" s="21"/>
      <c r="O111" s="23"/>
      <c r="P111" s="13"/>
      <c r="Q111" s="23"/>
      <c r="R111" s="4"/>
      <c r="S111" s="4"/>
      <c r="T111" s="4"/>
      <c r="U111" s="4"/>
    </row>
    <row r="112" spans="1:21" ht="15.75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18"/>
      <c r="M112" s="21"/>
      <c r="N112" s="21"/>
      <c r="O112" s="23"/>
      <c r="P112" s="13"/>
      <c r="Q112" s="23"/>
      <c r="R112" s="4"/>
      <c r="S112" s="4"/>
      <c r="T112" s="4"/>
      <c r="U112" s="4"/>
    </row>
    <row r="113" spans="1:21" ht="15.75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18"/>
      <c r="M113" s="21"/>
      <c r="N113" s="21"/>
      <c r="O113" s="23"/>
      <c r="P113" s="13"/>
      <c r="Q113" s="23"/>
      <c r="R113" s="4"/>
      <c r="S113" s="4"/>
      <c r="T113" s="4"/>
      <c r="U113" s="4"/>
    </row>
    <row r="114" spans="1:21" ht="15.75" x14ac:dyDescent="0.25">
      <c r="A114" s="4"/>
      <c r="B114" s="4"/>
      <c r="C114" s="4"/>
      <c r="D114" s="4"/>
      <c r="E114" s="4"/>
      <c r="F114" s="4" t="s">
        <v>102</v>
      </c>
      <c r="G114" s="4" t="s">
        <v>103</v>
      </c>
      <c r="H114" s="4"/>
      <c r="I114" s="4"/>
      <c r="J114" s="4"/>
      <c r="K114" s="4"/>
      <c r="L114" s="18">
        <v>308</v>
      </c>
      <c r="M114" s="326" t="s">
        <v>9</v>
      </c>
      <c r="N114" s="21"/>
      <c r="O114" s="23">
        <v>8.31</v>
      </c>
      <c r="P114" s="13"/>
      <c r="Q114" s="23">
        <f>SUM(L114*O114)</f>
        <v>2559.48</v>
      </c>
      <c r="R114" s="4"/>
      <c r="S114" s="4"/>
      <c r="T114" s="4"/>
      <c r="U114" s="4"/>
    </row>
    <row r="115" spans="1:21" ht="15.75" x14ac:dyDescent="0.25">
      <c r="A115" s="4"/>
      <c r="B115" s="4"/>
      <c r="C115" s="4"/>
      <c r="D115" s="4"/>
      <c r="E115" s="4"/>
      <c r="F115" s="4"/>
      <c r="G115" s="4" t="s">
        <v>104</v>
      </c>
      <c r="H115" s="4"/>
      <c r="I115" s="4"/>
      <c r="J115" s="4"/>
      <c r="K115" s="4"/>
      <c r="L115" s="18"/>
      <c r="M115" s="21"/>
      <c r="N115" s="21"/>
      <c r="O115" s="23"/>
      <c r="P115" s="13"/>
      <c r="Q115" s="23"/>
      <c r="R115" s="4"/>
      <c r="S115" s="4"/>
      <c r="T115" s="4"/>
      <c r="U115" s="4"/>
    </row>
    <row r="116" spans="1:21" ht="15.75" x14ac:dyDescent="0.25">
      <c r="A116" s="4"/>
      <c r="B116" s="4"/>
      <c r="C116" s="4"/>
      <c r="D116" s="4"/>
      <c r="E116" s="4"/>
      <c r="F116" s="4"/>
      <c r="G116" s="4" t="s">
        <v>68</v>
      </c>
      <c r="H116" s="4"/>
      <c r="I116" s="4"/>
      <c r="J116" s="4"/>
      <c r="K116" s="4"/>
      <c r="L116" s="18"/>
      <c r="M116" s="21"/>
      <c r="N116" s="21"/>
      <c r="O116" s="23"/>
      <c r="P116" s="13"/>
      <c r="Q116" s="23"/>
      <c r="R116" s="4"/>
      <c r="S116" s="4"/>
      <c r="T116" s="4"/>
      <c r="U116" s="4"/>
    </row>
    <row r="117" spans="1:21" ht="15.75" x14ac:dyDescent="0.25">
      <c r="A117" s="4"/>
      <c r="B117" s="4"/>
      <c r="C117" s="4"/>
      <c r="D117" s="4"/>
      <c r="E117" s="4"/>
      <c r="F117" s="4"/>
      <c r="G117" s="4" t="s">
        <v>119</v>
      </c>
      <c r="H117" s="4"/>
      <c r="I117" s="4"/>
      <c r="J117" s="4"/>
      <c r="K117" s="4"/>
      <c r="L117" s="18"/>
      <c r="M117" s="21"/>
      <c r="N117" s="21"/>
      <c r="O117" s="23"/>
      <c r="P117" s="13"/>
      <c r="Q117" s="23"/>
      <c r="R117" s="4"/>
      <c r="S117" s="4"/>
      <c r="T117" s="4"/>
      <c r="U117" s="4"/>
    </row>
    <row r="118" spans="1:21" ht="15.75" x14ac:dyDescent="0.25">
      <c r="A118" s="4"/>
      <c r="B118" s="4"/>
      <c r="C118" s="4"/>
      <c r="D118" s="4"/>
      <c r="E118" s="4"/>
      <c r="F118" s="4"/>
      <c r="G118" s="4" t="s">
        <v>60</v>
      </c>
      <c r="H118" s="4"/>
      <c r="I118" s="4"/>
      <c r="J118" s="4"/>
      <c r="K118" s="4"/>
      <c r="L118" s="18"/>
      <c r="M118" s="21"/>
      <c r="N118" s="21"/>
      <c r="O118" s="23"/>
      <c r="P118" s="13"/>
      <c r="Q118" s="23"/>
      <c r="R118" s="4"/>
      <c r="S118" s="4"/>
      <c r="T118" s="4"/>
      <c r="U118" s="4"/>
    </row>
    <row r="119" spans="1:21" ht="15.75" x14ac:dyDescent="0.25">
      <c r="A119" s="4"/>
      <c r="B119" s="4"/>
      <c r="C119" s="4"/>
      <c r="D119" s="4"/>
      <c r="E119" s="4"/>
      <c r="F119" s="4"/>
      <c r="G119" s="4" t="s">
        <v>66</v>
      </c>
      <c r="H119" s="4"/>
      <c r="I119" s="4"/>
      <c r="J119" s="4"/>
      <c r="K119" s="4"/>
      <c r="L119" s="18"/>
      <c r="M119" s="21"/>
      <c r="N119" s="21"/>
      <c r="O119" s="23"/>
      <c r="P119" s="13"/>
      <c r="Q119" s="23"/>
      <c r="R119" s="4"/>
      <c r="S119" s="4"/>
      <c r="T119" s="4"/>
      <c r="U119" s="4"/>
    </row>
    <row r="120" spans="1:21" ht="15.75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18"/>
      <c r="M120" s="21"/>
      <c r="N120" s="21"/>
      <c r="O120" s="23"/>
      <c r="P120" s="13"/>
      <c r="Q120" s="23"/>
      <c r="R120" s="4"/>
      <c r="S120" s="4"/>
      <c r="T120" s="4"/>
      <c r="U120" s="4"/>
    </row>
    <row r="121" spans="1:21" ht="15.75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18"/>
      <c r="M121" s="21"/>
      <c r="N121" s="21"/>
      <c r="O121" s="23"/>
      <c r="P121" s="13"/>
      <c r="Q121" s="23"/>
      <c r="R121" s="4"/>
      <c r="S121" s="4"/>
      <c r="T121" s="4"/>
      <c r="U121" s="4"/>
    </row>
    <row r="122" spans="1:21" ht="15.75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22"/>
      <c r="M122" s="22"/>
      <c r="N122" s="22"/>
      <c r="O122" s="22"/>
      <c r="P122" s="22"/>
      <c r="Q122" s="22"/>
      <c r="R122" s="4"/>
      <c r="S122" s="4"/>
      <c r="T122" s="4"/>
      <c r="U122" s="4"/>
    </row>
    <row r="123" spans="1:21" ht="15.75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324">
        <v>6387</v>
      </c>
      <c r="M123" s="21" t="s">
        <v>9</v>
      </c>
      <c r="N123" s="9"/>
      <c r="O123" s="9"/>
      <c r="P123" s="9"/>
      <c r="Q123" s="25">
        <v>52673.66</v>
      </c>
      <c r="R123" s="4"/>
      <c r="S123" s="4"/>
      <c r="T123" s="4"/>
      <c r="U123" s="4"/>
    </row>
    <row r="124" spans="1:21" ht="15.75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24" t="s">
        <v>69</v>
      </c>
      <c r="M124" s="4" t="s">
        <v>70</v>
      </c>
      <c r="N124" s="9"/>
      <c r="O124" s="9"/>
      <c r="P124" s="24" t="s">
        <v>70</v>
      </c>
      <c r="Q124" s="24" t="s">
        <v>71</v>
      </c>
      <c r="R124" s="4"/>
      <c r="S124" s="4"/>
      <c r="T124" s="4"/>
      <c r="U124" s="4"/>
    </row>
    <row r="125" spans="1:21" ht="15.75" x14ac:dyDescent="0.25">
      <c r="A125" s="4"/>
      <c r="B125" s="9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ht="15.75" x14ac:dyDescent="0.25">
      <c r="A126" s="4"/>
      <c r="B126" s="9"/>
      <c r="C126" s="4"/>
      <c r="D126" s="4"/>
      <c r="E126" s="4"/>
      <c r="F126" s="4"/>
      <c r="G126" s="4"/>
      <c r="H126" s="4"/>
      <c r="I126" s="4"/>
      <c r="J126" s="4"/>
      <c r="K126" s="4"/>
      <c r="L126" s="321"/>
      <c r="M126" s="321"/>
      <c r="N126" s="321"/>
      <c r="O126" s="321"/>
      <c r="P126" s="321"/>
      <c r="Q126" s="321"/>
      <c r="R126" s="94"/>
      <c r="S126" s="4"/>
      <c r="T126" s="4"/>
      <c r="U126" s="4"/>
    </row>
    <row r="127" spans="1:21" ht="16.5" thickBot="1" x14ac:dyDescent="0.3">
      <c r="A127" s="4"/>
      <c r="B127" s="9"/>
      <c r="C127" s="4"/>
      <c r="D127" s="4"/>
      <c r="E127" s="4"/>
      <c r="F127" s="4"/>
      <c r="G127" s="4"/>
      <c r="H127" s="4"/>
      <c r="I127" s="4"/>
      <c r="J127" s="4"/>
      <c r="K127" s="4"/>
      <c r="L127" s="321"/>
      <c r="M127" s="325" t="s">
        <v>125</v>
      </c>
      <c r="N127" s="325"/>
      <c r="O127" s="325"/>
      <c r="P127" s="322" t="s">
        <v>126</v>
      </c>
      <c r="Q127" s="194">
        <f>Q128-Q123</f>
        <v>35129.959999999992</v>
      </c>
      <c r="R127" s="94"/>
      <c r="S127" s="4"/>
      <c r="T127" s="4"/>
      <c r="U127" s="4"/>
    </row>
    <row r="128" spans="1:21" ht="15.75" x14ac:dyDescent="0.25">
      <c r="A128" s="4"/>
      <c r="B128" s="9"/>
      <c r="C128" s="4"/>
      <c r="D128" s="4"/>
      <c r="E128" s="4"/>
      <c r="F128" s="4"/>
      <c r="G128" s="4"/>
      <c r="H128" s="4"/>
      <c r="I128" s="4"/>
      <c r="J128" s="4"/>
      <c r="K128" s="4"/>
      <c r="L128" s="321"/>
      <c r="M128" s="329"/>
      <c r="N128" s="329"/>
      <c r="O128" s="329"/>
      <c r="P128" s="327" t="s">
        <v>126</v>
      </c>
      <c r="Q128" s="25">
        <v>87803.62</v>
      </c>
      <c r="R128" s="94"/>
      <c r="S128" s="4"/>
      <c r="T128" s="4"/>
      <c r="U128" s="4"/>
    </row>
    <row r="129" spans="1:21" ht="15.75" x14ac:dyDescent="0.25">
      <c r="A129" s="4"/>
      <c r="B129" s="9"/>
      <c r="C129" s="4"/>
      <c r="D129" s="4"/>
      <c r="E129" s="4"/>
      <c r="F129" s="4"/>
      <c r="G129" s="4"/>
      <c r="H129" s="4"/>
      <c r="I129" s="4"/>
      <c r="J129" s="4"/>
      <c r="K129" s="4"/>
      <c r="L129" s="321"/>
      <c r="M129" s="321"/>
      <c r="N129" s="321"/>
      <c r="O129" s="321"/>
      <c r="P129" s="328" t="s">
        <v>70</v>
      </c>
      <c r="Q129" s="328" t="s">
        <v>71</v>
      </c>
      <c r="R129" s="94"/>
      <c r="S129" s="4"/>
      <c r="T129" s="4"/>
      <c r="U129" s="4"/>
    </row>
    <row r="130" spans="1:21" ht="15.75" x14ac:dyDescent="0.25">
      <c r="A130" s="4"/>
      <c r="B130" s="9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ht="16.5" x14ac:dyDescent="0.25">
      <c r="A131" s="4"/>
      <c r="B131"/>
      <c r="C131" s="4"/>
      <c r="D131" s="317" t="s">
        <v>127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ht="15.75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 ht="15.75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9"/>
      <c r="O133" s="4" t="s">
        <v>1</v>
      </c>
      <c r="P133" s="9"/>
      <c r="Q133" s="9"/>
      <c r="R133" s="9"/>
      <c r="S133" s="9"/>
      <c r="T133" s="9"/>
      <c r="U133" s="9"/>
    </row>
    <row r="134" spans="1:21" ht="16.5" thickBo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9"/>
      <c r="O134" s="17"/>
      <c r="P134" s="17"/>
      <c r="Q134" s="17"/>
      <c r="R134" s="17"/>
      <c r="S134" s="17"/>
      <c r="T134" s="17"/>
      <c r="U134" s="17"/>
    </row>
    <row r="135" spans="1:21" ht="15.75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</sheetData>
  <mergeCells count="25">
    <mergeCell ref="A11:C11"/>
    <mergeCell ref="D11:I11"/>
    <mergeCell ref="K11:Q11"/>
    <mergeCell ref="A1:Q1"/>
    <mergeCell ref="A2:Q2"/>
    <mergeCell ref="A3:I3"/>
    <mergeCell ref="J3:Q3"/>
    <mergeCell ref="A4:Q4"/>
    <mergeCell ref="B6:G6"/>
    <mergeCell ref="L6:N6"/>
    <mergeCell ref="O6:Q6"/>
    <mergeCell ref="A7:D7"/>
    <mergeCell ref="E7:Q7"/>
    <mergeCell ref="A8:F8"/>
    <mergeCell ref="G8:Q8"/>
    <mergeCell ref="A9:Q10"/>
    <mergeCell ref="A12:D12"/>
    <mergeCell ref="E12:G12"/>
    <mergeCell ref="I12:K12"/>
    <mergeCell ref="N12:Q12"/>
    <mergeCell ref="A14:D14"/>
    <mergeCell ref="E14:J14"/>
    <mergeCell ref="K14:L14"/>
    <mergeCell ref="N14:O14"/>
    <mergeCell ref="P14:Q14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scale="50" fitToHeight="0" orientation="portrait" r:id="rId1"/>
  <headerFooter alignWithMargins="0">
    <oddFooter>&amp;C&amp;"Times New Roman,標準"PAGE&amp;"新細明體,標準":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81039-7946-4E79-B703-AF510FA1B84B}">
  <sheetPr>
    <pageSetUpPr fitToPage="1"/>
  </sheetPr>
  <dimension ref="A1:V130"/>
  <sheetViews>
    <sheetView topLeftCell="A97" zoomScaleNormal="100" workbookViewId="0">
      <selection activeCell="O6" sqref="O6:Q6"/>
    </sheetView>
  </sheetViews>
  <sheetFormatPr defaultRowHeight="14.25" x14ac:dyDescent="0.25"/>
  <cols>
    <col min="1" max="2" width="4.125" style="1" customWidth="1"/>
    <col min="3" max="3" width="6.75" style="1" customWidth="1"/>
    <col min="4" max="5" width="4.125" style="1" customWidth="1"/>
    <col min="6" max="6" width="5.625" style="1" customWidth="1"/>
    <col min="7" max="7" width="20.25" style="1" customWidth="1"/>
    <col min="8" max="8" width="10.125" style="1" customWidth="1"/>
    <col min="9" max="9" width="20.5" style="1" customWidth="1"/>
    <col min="10" max="10" width="5.625" style="1" customWidth="1"/>
    <col min="11" max="11" width="11.625" style="1" customWidth="1"/>
    <col min="12" max="12" width="17" style="1" customWidth="1"/>
    <col min="13" max="13" width="10.5" style="1" customWidth="1"/>
    <col min="14" max="14" width="4.125" style="1" customWidth="1"/>
    <col min="15" max="15" width="8.625" style="1" customWidth="1"/>
    <col min="16" max="16" width="4.125" style="1" customWidth="1"/>
    <col min="17" max="17" width="19.625" style="1" customWidth="1"/>
    <col min="18" max="16384" width="9" style="1"/>
  </cols>
  <sheetData>
    <row r="1" spans="1:22" s="2" customFormat="1" ht="19.5" x14ac:dyDescent="0.25">
      <c r="A1" s="79" t="s">
        <v>52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4"/>
      <c r="S1" s="4"/>
      <c r="T1" s="4"/>
      <c r="U1" s="4"/>
    </row>
    <row r="2" spans="1:22" s="3" customFormat="1" ht="34.5" customHeight="1" x14ac:dyDescent="0.25">
      <c r="A2" s="80" t="s">
        <v>28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</row>
    <row r="3" spans="1:22" s="3" customFormat="1" ht="15" x14ac:dyDescent="0.25">
      <c r="A3" s="81" t="s">
        <v>2</v>
      </c>
      <c r="B3" s="81"/>
      <c r="C3" s="81"/>
      <c r="D3" s="81"/>
      <c r="E3" s="81"/>
      <c r="F3" s="81"/>
      <c r="G3" s="81"/>
      <c r="H3" s="81"/>
      <c r="I3" s="81"/>
      <c r="J3" s="82" t="s">
        <v>3</v>
      </c>
      <c r="K3" s="82"/>
      <c r="L3" s="82"/>
      <c r="M3" s="82"/>
      <c r="N3" s="82"/>
      <c r="O3" s="82"/>
      <c r="P3" s="82"/>
      <c r="Q3" s="82"/>
    </row>
    <row r="4" spans="1:22" s="2" customFormat="1" ht="19.5" x14ac:dyDescent="0.25">
      <c r="A4" s="83" t="s">
        <v>51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4"/>
      <c r="S4" s="4"/>
      <c r="T4" s="4"/>
      <c r="U4" s="4"/>
      <c r="V4" s="1"/>
    </row>
    <row r="5" spans="1:22" ht="15.75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4"/>
      <c r="S5" s="4"/>
      <c r="T5" s="4"/>
      <c r="U5" s="4"/>
    </row>
    <row r="6" spans="1:22" ht="16.5" customHeight="1" x14ac:dyDescent="0.25">
      <c r="A6" s="3" t="s">
        <v>29</v>
      </c>
      <c r="B6" s="84" t="s">
        <v>84</v>
      </c>
      <c r="C6" s="85"/>
      <c r="D6" s="85"/>
      <c r="E6" s="85"/>
      <c r="F6" s="85"/>
      <c r="G6" s="86"/>
      <c r="H6" s="4"/>
      <c r="I6" s="4"/>
      <c r="J6" s="4"/>
      <c r="K6" s="4"/>
      <c r="L6" s="87" t="s">
        <v>30</v>
      </c>
      <c r="M6" s="87"/>
      <c r="N6" s="88"/>
      <c r="O6" s="75" t="s">
        <v>83</v>
      </c>
      <c r="P6" s="75"/>
      <c r="Q6" s="66"/>
      <c r="R6" s="4"/>
      <c r="S6" s="4"/>
      <c r="T6" s="4"/>
      <c r="U6" s="4"/>
    </row>
    <row r="7" spans="1:22" ht="15.75" x14ac:dyDescent="0.25">
      <c r="A7" s="74" t="s">
        <v>77</v>
      </c>
      <c r="B7" s="47"/>
      <c r="C7" s="47"/>
      <c r="D7" s="48"/>
      <c r="E7" s="66" t="s">
        <v>25</v>
      </c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4"/>
      <c r="S7" s="4"/>
      <c r="T7" s="4"/>
      <c r="U7" s="4"/>
    </row>
    <row r="8" spans="1:22" ht="15" customHeight="1" x14ac:dyDescent="0.25">
      <c r="A8" s="47" t="s">
        <v>31</v>
      </c>
      <c r="B8" s="47"/>
      <c r="C8" s="47"/>
      <c r="D8" s="47"/>
      <c r="E8" s="47"/>
      <c r="F8" s="47"/>
      <c r="G8" s="75" t="s">
        <v>4</v>
      </c>
      <c r="H8" s="75"/>
      <c r="I8" s="66"/>
      <c r="J8" s="66"/>
      <c r="K8" s="66"/>
      <c r="L8" s="66"/>
      <c r="M8" s="66"/>
      <c r="N8" s="66"/>
      <c r="O8" s="66"/>
      <c r="P8" s="66"/>
      <c r="Q8" s="66"/>
      <c r="R8" s="4"/>
      <c r="S8" s="4"/>
      <c r="T8" s="4"/>
      <c r="U8" s="4"/>
    </row>
    <row r="9" spans="1:22" ht="15" customHeight="1" x14ac:dyDescent="0.25">
      <c r="A9" s="76" t="s">
        <v>5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4"/>
      <c r="S9" s="4"/>
      <c r="T9" s="4"/>
      <c r="U9" s="4"/>
    </row>
    <row r="10" spans="1:22" ht="8.25" customHeight="1" x14ac:dyDescent="0.25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4"/>
      <c r="S10" s="4"/>
      <c r="T10" s="4"/>
      <c r="U10" s="4"/>
    </row>
    <row r="11" spans="1:22" ht="15.75" customHeight="1" x14ac:dyDescent="0.25">
      <c r="A11" s="47" t="s">
        <v>32</v>
      </c>
      <c r="B11" s="47"/>
      <c r="C11" s="47"/>
      <c r="D11" s="78" t="s">
        <v>1</v>
      </c>
      <c r="E11" s="78"/>
      <c r="F11" s="78"/>
      <c r="G11" s="78"/>
      <c r="H11" s="78"/>
      <c r="I11" s="64"/>
      <c r="J11" s="27" t="s">
        <v>33</v>
      </c>
      <c r="K11" s="78" t="s">
        <v>56</v>
      </c>
      <c r="L11" s="64"/>
      <c r="M11" s="64"/>
      <c r="N11" s="64"/>
      <c r="O11" s="64"/>
      <c r="P11" s="64"/>
      <c r="Q11" s="64"/>
      <c r="R11" s="4"/>
      <c r="S11" s="4"/>
      <c r="T11" s="4"/>
      <c r="U11" s="4"/>
    </row>
    <row r="12" spans="1:22" ht="15.75" customHeight="1" x14ac:dyDescent="0.25">
      <c r="A12" s="47" t="s">
        <v>34</v>
      </c>
      <c r="B12" s="47"/>
      <c r="C12" s="47"/>
      <c r="D12" s="48"/>
      <c r="E12" s="64"/>
      <c r="F12" s="64"/>
      <c r="G12" s="64"/>
      <c r="H12" s="8" t="s">
        <v>35</v>
      </c>
      <c r="I12" s="65" t="s">
        <v>57</v>
      </c>
      <c r="J12" s="66"/>
      <c r="K12" s="66"/>
      <c r="L12" s="6" t="s">
        <v>36</v>
      </c>
      <c r="M12" s="6"/>
      <c r="N12" s="64" t="s">
        <v>59</v>
      </c>
      <c r="O12" s="64"/>
      <c r="P12" s="64"/>
      <c r="Q12" s="64"/>
      <c r="R12" s="4"/>
      <c r="S12" s="4"/>
      <c r="T12" s="4"/>
      <c r="U12" s="4"/>
    </row>
    <row r="13" spans="1:22" ht="15.75" customHeight="1" thickBo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2" ht="14.25" customHeight="1" thickTop="1" x14ac:dyDescent="0.25">
      <c r="A14" s="67" t="s">
        <v>37</v>
      </c>
      <c r="B14" s="68"/>
      <c r="C14" s="68"/>
      <c r="D14" s="69"/>
      <c r="E14" s="70" t="s">
        <v>38</v>
      </c>
      <c r="F14" s="68"/>
      <c r="G14" s="68"/>
      <c r="H14" s="68"/>
      <c r="I14" s="68"/>
      <c r="J14" s="68"/>
      <c r="K14" s="70" t="s">
        <v>39</v>
      </c>
      <c r="L14" s="71"/>
      <c r="M14" s="16"/>
      <c r="N14" s="72" t="s">
        <v>40</v>
      </c>
      <c r="O14" s="73"/>
      <c r="P14" s="70" t="s">
        <v>0</v>
      </c>
      <c r="Q14" s="72"/>
      <c r="R14" s="4"/>
      <c r="S14" s="4"/>
      <c r="T14" s="4"/>
      <c r="U14" s="4"/>
    </row>
    <row r="15" spans="1:22" ht="15.75" customHeight="1" x14ac:dyDescent="0.25">
      <c r="A15" s="4"/>
      <c r="B15" s="26"/>
      <c r="C15" s="26"/>
      <c r="D15" s="26"/>
      <c r="E15" s="26"/>
      <c r="F15" s="26"/>
      <c r="G15" s="26"/>
      <c r="H15" s="26"/>
      <c r="I15" s="26"/>
      <c r="J15" s="26"/>
      <c r="K15" s="19"/>
      <c r="L15" s="19"/>
      <c r="M15" s="19"/>
      <c r="N15" s="19"/>
      <c r="O15" s="11" t="s">
        <v>6</v>
      </c>
      <c r="P15" s="19"/>
      <c r="Q15" s="19"/>
      <c r="R15" s="4"/>
      <c r="S15" s="4"/>
      <c r="T15" s="4"/>
      <c r="U15" s="4"/>
    </row>
    <row r="16" spans="1:22" ht="15.75" x14ac:dyDescent="0.25">
      <c r="A16" s="4" t="s">
        <v>41</v>
      </c>
      <c r="B16" s="4"/>
      <c r="C16" s="4"/>
      <c r="D16" s="4"/>
      <c r="E16" s="4"/>
      <c r="F16" s="4" t="s">
        <v>7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15.75" x14ac:dyDescent="0.25">
      <c r="A17" s="4" t="s">
        <v>42</v>
      </c>
      <c r="B17" s="4"/>
      <c r="C17" s="4"/>
      <c r="D17" s="4"/>
      <c r="E17" s="4"/>
      <c r="F17" s="4" t="s">
        <v>8</v>
      </c>
      <c r="G17" s="4"/>
      <c r="H17" s="4"/>
      <c r="I17" s="4"/>
      <c r="J17" s="4"/>
      <c r="K17" s="4"/>
      <c r="L17" s="21"/>
      <c r="M17" s="21"/>
      <c r="N17" s="21"/>
      <c r="O17" s="21"/>
      <c r="P17" s="21"/>
      <c r="Q17" s="21"/>
      <c r="R17" s="4"/>
      <c r="S17" s="4"/>
      <c r="T17" s="4"/>
      <c r="U17" s="4"/>
    </row>
    <row r="18" spans="1:21" ht="15.75" x14ac:dyDescent="0.25">
      <c r="A18" s="4" t="s">
        <v>43</v>
      </c>
      <c r="B18" s="4"/>
      <c r="C18" s="4"/>
      <c r="D18" s="4"/>
      <c r="E18" s="24"/>
      <c r="F18" s="4" t="s">
        <v>61</v>
      </c>
      <c r="G18" s="4" t="s">
        <v>78</v>
      </c>
      <c r="H18" s="4"/>
      <c r="I18" s="4"/>
      <c r="J18" s="4"/>
      <c r="K18" s="4"/>
      <c r="L18" s="18">
        <v>2433</v>
      </c>
      <c r="M18" s="21" t="s">
        <v>9</v>
      </c>
      <c r="N18" s="21"/>
      <c r="O18" s="23">
        <v>8.66</v>
      </c>
      <c r="P18" s="13"/>
      <c r="Q18" s="23">
        <f>SUM(L18*O18)</f>
        <v>21069.78</v>
      </c>
      <c r="R18" s="4"/>
      <c r="S18" s="4"/>
      <c r="T18" s="4"/>
      <c r="U18" s="4"/>
    </row>
    <row r="19" spans="1:21" ht="15.75" x14ac:dyDescent="0.25">
      <c r="A19" s="4" t="s">
        <v>44</v>
      </c>
      <c r="B19" s="4"/>
      <c r="C19" s="4"/>
      <c r="D19" s="4"/>
      <c r="E19" s="10"/>
      <c r="F19" s="4"/>
      <c r="G19" s="4" t="s">
        <v>72</v>
      </c>
      <c r="H19" s="4"/>
      <c r="I19" s="4"/>
      <c r="J19" s="4"/>
      <c r="K19" s="4"/>
      <c r="L19" s="18"/>
      <c r="M19" s="21"/>
      <c r="N19" s="21"/>
      <c r="O19" s="23"/>
      <c r="P19" s="13"/>
      <c r="Q19" s="23"/>
      <c r="R19" s="4"/>
      <c r="S19" s="4"/>
      <c r="T19" s="4"/>
      <c r="U19" s="4"/>
    </row>
    <row r="20" spans="1:21" ht="14.25" customHeight="1" x14ac:dyDescent="0.25">
      <c r="A20" s="4"/>
      <c r="B20" s="4"/>
      <c r="C20" s="4"/>
      <c r="D20" s="4"/>
      <c r="E20" s="10"/>
      <c r="F20" s="4"/>
      <c r="G20" s="4" t="s">
        <v>73</v>
      </c>
      <c r="H20" s="9"/>
      <c r="I20" s="4"/>
      <c r="J20" s="4"/>
      <c r="K20" s="4"/>
      <c r="L20" s="18"/>
      <c r="M20" s="21"/>
      <c r="N20" s="21"/>
      <c r="O20" s="23"/>
      <c r="P20" s="13"/>
      <c r="Q20" s="23"/>
      <c r="R20" s="4"/>
      <c r="S20" s="4"/>
      <c r="T20" s="4"/>
      <c r="U20" s="4"/>
    </row>
    <row r="21" spans="1:21" ht="14.25" customHeight="1" x14ac:dyDescent="0.25">
      <c r="A21" s="4" t="s">
        <v>45</v>
      </c>
      <c r="B21" s="4"/>
      <c r="C21" s="4"/>
      <c r="D21" s="4"/>
      <c r="E21" s="4"/>
      <c r="F21" s="4"/>
      <c r="G21" s="4" t="s">
        <v>75</v>
      </c>
      <c r="H21" s="9"/>
      <c r="I21" s="4"/>
      <c r="J21" s="4"/>
      <c r="K21" s="4"/>
      <c r="L21" s="18"/>
      <c r="M21" s="21"/>
      <c r="N21" s="21"/>
      <c r="O21" s="23"/>
      <c r="P21" s="13"/>
      <c r="Q21" s="23"/>
      <c r="R21" s="4"/>
      <c r="S21" s="4"/>
      <c r="T21" s="4"/>
      <c r="U21" s="4"/>
    </row>
    <row r="22" spans="1:21" ht="14.25" customHeight="1" x14ac:dyDescent="0.25">
      <c r="A22" s="4" t="s">
        <v>46</v>
      </c>
      <c r="B22" s="4"/>
      <c r="C22" s="4"/>
      <c r="D22" s="4"/>
      <c r="E22" s="4"/>
      <c r="F22" s="4"/>
      <c r="G22" s="4" t="s">
        <v>74</v>
      </c>
      <c r="H22" s="9"/>
      <c r="I22" s="4"/>
      <c r="J22" s="4"/>
      <c r="K22" s="4"/>
      <c r="L22" s="18"/>
      <c r="M22" s="21"/>
      <c r="N22" s="21"/>
      <c r="O22" s="23"/>
      <c r="P22" s="13"/>
      <c r="Q22" s="23"/>
      <c r="R22" s="4"/>
      <c r="S22" s="4"/>
      <c r="T22" s="4"/>
      <c r="U22" s="4"/>
    </row>
    <row r="23" spans="1:21" ht="15.75" x14ac:dyDescent="0.25">
      <c r="A23" s="4" t="s">
        <v>47</v>
      </c>
      <c r="B23" s="4"/>
      <c r="C23" s="4"/>
      <c r="D23" s="4"/>
      <c r="E23" s="11"/>
      <c r="F23" s="4"/>
      <c r="G23" s="4" t="s">
        <v>85</v>
      </c>
      <c r="H23" s="89">
        <v>1217</v>
      </c>
      <c r="I23" s="4"/>
      <c r="J23" s="4"/>
      <c r="K23" s="4"/>
      <c r="L23" s="18"/>
      <c r="M23" s="21"/>
      <c r="N23" s="21"/>
      <c r="O23" s="23"/>
      <c r="P23" s="13"/>
      <c r="Q23" s="23"/>
      <c r="R23" s="4"/>
      <c r="S23" s="4"/>
      <c r="T23" s="4"/>
      <c r="U23" s="4"/>
    </row>
    <row r="24" spans="1:21" ht="15.75" x14ac:dyDescent="0.25">
      <c r="A24" s="4" t="s">
        <v>48</v>
      </c>
      <c r="B24" s="4"/>
      <c r="C24" s="4"/>
      <c r="D24" s="4"/>
      <c r="E24" s="4"/>
      <c r="F24" s="4"/>
      <c r="G24" s="4" t="s">
        <v>86</v>
      </c>
      <c r="H24" s="89">
        <v>1216</v>
      </c>
      <c r="I24" s="4"/>
      <c r="J24" s="4"/>
      <c r="K24" s="4"/>
      <c r="L24" s="18"/>
      <c r="M24" s="21"/>
      <c r="N24" s="21"/>
      <c r="O24" s="23"/>
      <c r="P24" s="13"/>
      <c r="Q24" s="23"/>
      <c r="R24" s="4"/>
      <c r="S24" s="4"/>
      <c r="T24" s="4"/>
      <c r="U24" s="4"/>
    </row>
    <row r="25" spans="1:21" ht="15.7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18"/>
      <c r="M25" s="21"/>
      <c r="N25" s="21"/>
      <c r="O25" s="23"/>
      <c r="P25" s="13"/>
      <c r="Q25" s="23"/>
      <c r="R25" s="4"/>
      <c r="S25" s="4"/>
      <c r="T25" s="4"/>
      <c r="U25" s="4"/>
    </row>
    <row r="26" spans="1:21" ht="15.75" x14ac:dyDescent="0.25">
      <c r="A26" s="4" t="s">
        <v>49</v>
      </c>
      <c r="B26" s="4"/>
      <c r="C26" s="4"/>
      <c r="D26" s="4"/>
      <c r="E26" s="4"/>
      <c r="F26" s="4" t="s">
        <v>62</v>
      </c>
      <c r="G26" s="4" t="s">
        <v>87</v>
      </c>
      <c r="H26" s="4"/>
      <c r="I26" s="4"/>
      <c r="J26" s="4"/>
      <c r="K26" s="4"/>
      <c r="L26" s="18">
        <v>305</v>
      </c>
      <c r="M26" s="21" t="s">
        <v>9</v>
      </c>
      <c r="N26" s="21"/>
      <c r="O26" s="23">
        <v>5.74</v>
      </c>
      <c r="P26" s="13"/>
      <c r="Q26" s="23">
        <f>SUM(L26*O26)</f>
        <v>1750.7</v>
      </c>
      <c r="R26" s="4"/>
      <c r="S26" s="4"/>
      <c r="T26" s="4"/>
      <c r="U26" s="4"/>
    </row>
    <row r="27" spans="1:21" ht="15.75" x14ac:dyDescent="0.25">
      <c r="A27" s="4" t="s">
        <v>50</v>
      </c>
      <c r="B27" s="4"/>
      <c r="C27" s="4"/>
      <c r="D27" s="4"/>
      <c r="E27" s="4"/>
      <c r="F27" s="4"/>
      <c r="G27" s="4" t="s">
        <v>88</v>
      </c>
      <c r="H27" s="4"/>
      <c r="I27" s="4"/>
      <c r="J27" s="4"/>
      <c r="K27" s="4"/>
      <c r="L27" s="18"/>
      <c r="M27" s="21"/>
      <c r="N27" s="21"/>
      <c r="O27" s="23"/>
      <c r="P27" s="13"/>
      <c r="Q27" s="23"/>
      <c r="R27" s="4"/>
      <c r="S27" s="4"/>
      <c r="T27" s="4"/>
      <c r="U27" s="4"/>
    </row>
    <row r="28" spans="1:21" ht="15.75" x14ac:dyDescent="0.25">
      <c r="A28" s="4"/>
      <c r="B28" s="4"/>
      <c r="C28" s="4"/>
      <c r="D28" s="4"/>
      <c r="E28" s="4"/>
      <c r="F28" s="4"/>
      <c r="G28" s="4" t="s">
        <v>110</v>
      </c>
      <c r="I28" s="9"/>
      <c r="J28" s="9"/>
      <c r="K28" s="4"/>
      <c r="L28" s="18"/>
      <c r="M28" s="21"/>
      <c r="N28" s="21"/>
      <c r="O28" s="23"/>
      <c r="P28" s="13"/>
      <c r="Q28" s="23"/>
      <c r="R28" s="4"/>
      <c r="S28" s="4"/>
      <c r="T28" s="4"/>
      <c r="U28" s="4"/>
    </row>
    <row r="29" spans="1:21" ht="15.75" x14ac:dyDescent="0.25">
      <c r="A29" s="4"/>
      <c r="B29" s="4"/>
      <c r="C29" s="4"/>
      <c r="D29" s="4"/>
      <c r="E29" s="4"/>
      <c r="F29" s="4"/>
      <c r="G29" s="4" t="s">
        <v>111</v>
      </c>
      <c r="H29" s="9"/>
      <c r="I29" s="4"/>
      <c r="J29" s="9"/>
      <c r="K29" s="4"/>
      <c r="L29" s="18"/>
      <c r="M29" s="21"/>
      <c r="N29" s="4"/>
      <c r="O29" s="23"/>
      <c r="P29" s="13"/>
      <c r="Q29" s="23"/>
      <c r="R29" s="4"/>
      <c r="S29" s="4"/>
      <c r="T29" s="4"/>
      <c r="U29" s="4"/>
    </row>
    <row r="30" spans="1:21" ht="15.75" x14ac:dyDescent="0.25">
      <c r="A30" s="4"/>
      <c r="B30" s="4"/>
      <c r="C30" s="4"/>
      <c r="D30" s="4"/>
      <c r="E30" s="4"/>
      <c r="F30" s="4"/>
      <c r="G30" s="4" t="s">
        <v>112</v>
      </c>
      <c r="H30" s="9"/>
      <c r="I30" s="4"/>
      <c r="J30" s="9"/>
      <c r="K30" s="4"/>
      <c r="L30" s="18"/>
      <c r="M30" s="21"/>
      <c r="N30" s="4"/>
      <c r="O30" s="23"/>
      <c r="P30" s="13"/>
      <c r="Q30" s="23"/>
      <c r="R30" s="4"/>
      <c r="S30" s="4"/>
      <c r="T30" s="4"/>
      <c r="U30" s="4"/>
    </row>
    <row r="31" spans="1:21" ht="15.75" x14ac:dyDescent="0.25">
      <c r="A31" s="4"/>
      <c r="B31" s="4"/>
      <c r="C31" s="4"/>
      <c r="D31" s="4"/>
      <c r="E31" s="4"/>
      <c r="F31" s="4"/>
      <c r="G31" s="4" t="s">
        <v>89</v>
      </c>
      <c r="H31" s="4"/>
      <c r="I31" s="4"/>
      <c r="J31" s="4"/>
      <c r="K31" s="4"/>
      <c r="L31" s="18"/>
      <c r="M31" s="21"/>
      <c r="N31" s="21"/>
      <c r="O31" s="23"/>
      <c r="P31" s="13"/>
      <c r="Q31" s="23"/>
      <c r="R31" s="4"/>
      <c r="S31" s="4"/>
      <c r="T31" s="4"/>
      <c r="U31" s="4"/>
    </row>
    <row r="32" spans="1:21" ht="15.75" x14ac:dyDescent="0.25">
      <c r="A32" s="4"/>
      <c r="B32" s="4"/>
      <c r="C32" s="4"/>
      <c r="D32" s="4"/>
      <c r="E32" s="4"/>
      <c r="F32" s="4"/>
      <c r="G32" s="4"/>
      <c r="H32" s="12"/>
      <c r="I32" s="4"/>
      <c r="J32" s="4"/>
      <c r="K32" s="4"/>
      <c r="L32" s="18"/>
      <c r="M32" s="21"/>
      <c r="N32" s="21"/>
      <c r="O32" s="23"/>
      <c r="P32" s="13"/>
      <c r="Q32" s="23"/>
      <c r="R32" s="4"/>
      <c r="S32" s="4"/>
      <c r="T32" s="4"/>
      <c r="U32" s="4"/>
    </row>
    <row r="33" spans="1:21" ht="15.7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18"/>
      <c r="M33" s="21"/>
      <c r="N33" s="21"/>
      <c r="O33" s="23"/>
      <c r="P33" s="13"/>
      <c r="Q33" s="23"/>
      <c r="R33" s="4"/>
      <c r="S33" s="4"/>
      <c r="T33" s="4"/>
      <c r="U33" s="4"/>
    </row>
    <row r="34" spans="1:21" ht="15.75" x14ac:dyDescent="0.25">
      <c r="A34" s="4"/>
      <c r="B34" s="4"/>
      <c r="C34" s="4"/>
      <c r="D34" s="4"/>
      <c r="E34" s="4"/>
      <c r="F34" s="4" t="s">
        <v>63</v>
      </c>
      <c r="G34" s="4" t="s">
        <v>87</v>
      </c>
      <c r="H34" s="4"/>
      <c r="I34" s="4"/>
      <c r="J34" s="4"/>
      <c r="K34" s="4"/>
      <c r="L34" s="18">
        <v>58</v>
      </c>
      <c r="M34" s="21" t="s">
        <v>9</v>
      </c>
      <c r="N34" s="21"/>
      <c r="O34" s="23">
        <v>6.12</v>
      </c>
      <c r="P34" s="13"/>
      <c r="Q34" s="23">
        <f>SUM(L34*O34)</f>
        <v>354.96</v>
      </c>
      <c r="R34" s="4"/>
      <c r="S34" s="4"/>
      <c r="T34" s="4"/>
      <c r="U34" s="4"/>
    </row>
    <row r="35" spans="1:21" ht="15.75" x14ac:dyDescent="0.25">
      <c r="A35" s="4"/>
      <c r="B35" s="4"/>
      <c r="C35" s="4"/>
      <c r="D35" s="4"/>
      <c r="E35" s="4"/>
      <c r="F35" s="4"/>
      <c r="G35" s="4" t="s">
        <v>90</v>
      </c>
      <c r="H35" s="4"/>
      <c r="I35" s="4"/>
      <c r="J35" s="4"/>
      <c r="K35" s="4"/>
      <c r="L35" s="18"/>
      <c r="M35" s="21"/>
      <c r="N35" s="21"/>
      <c r="O35" s="23"/>
      <c r="P35" s="13"/>
      <c r="Q35" s="23"/>
      <c r="R35" s="4"/>
      <c r="S35" s="4"/>
      <c r="T35" s="4"/>
      <c r="U35" s="4"/>
    </row>
    <row r="36" spans="1:21" ht="15.75" x14ac:dyDescent="0.25">
      <c r="A36" s="4"/>
      <c r="B36" s="4"/>
      <c r="C36" s="4"/>
      <c r="D36" s="4"/>
      <c r="E36" s="4"/>
      <c r="F36" s="4"/>
      <c r="G36" s="4" t="s">
        <v>113</v>
      </c>
      <c r="H36" s="4"/>
      <c r="K36" s="4"/>
      <c r="L36" s="18"/>
      <c r="M36" s="21"/>
      <c r="N36" s="21"/>
      <c r="O36" s="23"/>
      <c r="P36" s="13"/>
      <c r="Q36" s="23"/>
      <c r="R36" s="4"/>
      <c r="S36" s="4"/>
      <c r="T36" s="4"/>
      <c r="U36" s="4"/>
    </row>
    <row r="37" spans="1:21" ht="19.5" customHeight="1" x14ac:dyDescent="0.25">
      <c r="A37" s="4"/>
      <c r="B37" s="4"/>
      <c r="C37" s="4"/>
      <c r="D37" s="4"/>
      <c r="E37" s="4"/>
      <c r="F37" s="4"/>
      <c r="G37" s="4" t="s">
        <v>114</v>
      </c>
      <c r="H37" s="4"/>
      <c r="K37" s="4"/>
      <c r="L37" s="18"/>
      <c r="M37" s="21"/>
      <c r="N37" s="21"/>
      <c r="O37" s="23"/>
      <c r="P37" s="13"/>
      <c r="Q37" s="23"/>
      <c r="R37" s="4"/>
      <c r="S37" s="4"/>
      <c r="T37" s="4"/>
      <c r="U37" s="4"/>
    </row>
    <row r="38" spans="1:21" ht="15.75" x14ac:dyDescent="0.25">
      <c r="A38" s="4"/>
      <c r="B38" s="4"/>
      <c r="C38" s="4"/>
      <c r="D38" s="4"/>
      <c r="E38" s="4"/>
      <c r="F38" s="4"/>
      <c r="G38" s="4" t="s">
        <v>60</v>
      </c>
      <c r="H38" s="9"/>
      <c r="I38" s="4"/>
      <c r="J38" s="9"/>
      <c r="K38" s="4"/>
      <c r="L38" s="18"/>
      <c r="M38" s="21"/>
      <c r="N38" s="21"/>
      <c r="O38" s="23"/>
      <c r="P38" s="13"/>
      <c r="Q38" s="23"/>
      <c r="R38" s="4"/>
      <c r="S38" s="4"/>
      <c r="T38" s="4"/>
      <c r="U38" s="4"/>
    </row>
    <row r="39" spans="1:21" ht="15.75" x14ac:dyDescent="0.25">
      <c r="A39" s="4"/>
      <c r="B39" s="4"/>
      <c r="C39" s="4"/>
      <c r="D39" s="4"/>
      <c r="E39" s="4"/>
      <c r="F39" s="4"/>
      <c r="G39" s="4" t="s">
        <v>89</v>
      </c>
      <c r="H39" s="12"/>
      <c r="I39" s="4"/>
      <c r="J39" s="4"/>
      <c r="K39" s="4"/>
      <c r="L39" s="18"/>
      <c r="M39" s="21"/>
      <c r="N39" s="21"/>
      <c r="O39" s="23"/>
      <c r="P39" s="13"/>
      <c r="Q39" s="23"/>
      <c r="R39" s="4"/>
      <c r="S39" s="4"/>
      <c r="T39" s="4"/>
      <c r="U39" s="4"/>
    </row>
    <row r="40" spans="1:21" ht="15.7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8"/>
      <c r="M40" s="21"/>
      <c r="N40" s="21"/>
      <c r="O40" s="23"/>
      <c r="P40" s="13"/>
      <c r="Q40" s="23"/>
      <c r="R40" s="4"/>
      <c r="S40" s="4"/>
      <c r="T40" s="4"/>
      <c r="U40" s="4"/>
    </row>
    <row r="41" spans="1:21" ht="15.7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8"/>
      <c r="M41" s="21"/>
      <c r="N41" s="21"/>
      <c r="O41" s="23"/>
      <c r="P41" s="13"/>
      <c r="Q41" s="23"/>
      <c r="R41" s="4"/>
      <c r="S41" s="4"/>
      <c r="T41" s="4"/>
      <c r="U41" s="4"/>
    </row>
    <row r="42" spans="1:21" ht="15.75" x14ac:dyDescent="0.25">
      <c r="A42" s="4"/>
      <c r="B42" s="4"/>
      <c r="C42" s="4"/>
      <c r="D42" s="4"/>
      <c r="E42" s="4"/>
      <c r="F42" s="4" t="s">
        <v>64</v>
      </c>
      <c r="G42" s="4" t="s">
        <v>91</v>
      </c>
      <c r="H42" s="4"/>
      <c r="I42" s="4"/>
      <c r="J42" s="4"/>
      <c r="K42" s="4"/>
      <c r="L42" s="18">
        <v>569</v>
      </c>
      <c r="M42" s="21" t="s">
        <v>9</v>
      </c>
      <c r="N42" s="21"/>
      <c r="O42" s="23">
        <v>8.19</v>
      </c>
      <c r="P42" s="13"/>
      <c r="Q42" s="23">
        <f>SUM(L42*O42)</f>
        <v>4660.1099999999997</v>
      </c>
      <c r="R42" s="4"/>
      <c r="S42" s="4"/>
      <c r="T42" s="4"/>
      <c r="U42" s="4"/>
    </row>
    <row r="43" spans="1:21" ht="15.75" x14ac:dyDescent="0.25">
      <c r="A43" s="4"/>
      <c r="B43" s="4"/>
      <c r="C43" s="4"/>
      <c r="D43" s="4"/>
      <c r="E43" s="4"/>
      <c r="F43" s="4"/>
      <c r="G43" s="4" t="s">
        <v>92</v>
      </c>
      <c r="H43" s="4"/>
      <c r="I43" s="4"/>
      <c r="J43" s="4"/>
      <c r="K43" s="4"/>
      <c r="L43" s="18"/>
      <c r="M43" s="21"/>
      <c r="N43" s="21"/>
      <c r="O43" s="23"/>
      <c r="P43" s="13"/>
      <c r="Q43" s="23"/>
      <c r="R43" s="4"/>
      <c r="S43" s="4"/>
      <c r="T43" s="4"/>
      <c r="U43" s="4"/>
    </row>
    <row r="44" spans="1:21" ht="15.75" x14ac:dyDescent="0.25">
      <c r="A44" s="4"/>
      <c r="B44" s="4"/>
      <c r="C44" s="4"/>
      <c r="D44" s="4"/>
      <c r="E44" s="4"/>
      <c r="F44" s="4"/>
      <c r="G44" s="4" t="s">
        <v>113</v>
      </c>
      <c r="H44" s="4"/>
      <c r="I44" s="4"/>
      <c r="J44" s="4"/>
      <c r="K44" s="4"/>
      <c r="L44" s="18"/>
      <c r="M44" s="21"/>
      <c r="N44" s="21"/>
      <c r="O44" s="23"/>
      <c r="P44" s="13"/>
      <c r="Q44" s="23"/>
      <c r="R44" s="4"/>
      <c r="S44" s="4"/>
      <c r="T44" s="4"/>
      <c r="U44" s="4"/>
    </row>
    <row r="45" spans="1:21" ht="15.75" x14ac:dyDescent="0.25">
      <c r="A45" s="4"/>
      <c r="B45" s="4"/>
      <c r="C45" s="4"/>
      <c r="D45" s="4"/>
      <c r="E45" s="4"/>
      <c r="F45" s="4"/>
      <c r="G45" s="4" t="s">
        <v>123</v>
      </c>
      <c r="H45" s="9"/>
      <c r="I45" s="9"/>
      <c r="J45" s="9"/>
      <c r="K45" s="4"/>
      <c r="L45" s="18"/>
      <c r="M45" s="21"/>
      <c r="N45" s="21"/>
      <c r="O45" s="23"/>
      <c r="P45" s="13"/>
      <c r="Q45" s="23"/>
      <c r="R45" s="4"/>
      <c r="S45" s="4"/>
      <c r="T45" s="4"/>
      <c r="U45" s="4"/>
    </row>
    <row r="46" spans="1:21" ht="15.75" x14ac:dyDescent="0.25">
      <c r="A46" s="4"/>
      <c r="B46" s="4"/>
      <c r="C46" s="4"/>
      <c r="D46" s="4"/>
      <c r="E46" s="4"/>
      <c r="F46" s="4"/>
      <c r="G46" s="4" t="s">
        <v>60</v>
      </c>
      <c r="H46" s="9"/>
      <c r="I46" s="9"/>
      <c r="J46" s="9"/>
      <c r="K46" s="4"/>
      <c r="L46" s="18"/>
      <c r="M46" s="21"/>
      <c r="N46" s="21"/>
      <c r="O46" s="23"/>
      <c r="P46" s="13"/>
      <c r="Q46" s="23"/>
      <c r="R46" s="4"/>
      <c r="S46" s="4"/>
      <c r="T46" s="4"/>
      <c r="U46" s="4"/>
    </row>
    <row r="47" spans="1:21" ht="15.75" x14ac:dyDescent="0.25">
      <c r="A47" s="4"/>
      <c r="B47" s="4"/>
      <c r="C47" s="4"/>
      <c r="D47" s="4"/>
      <c r="E47" s="4"/>
      <c r="F47" s="4"/>
      <c r="G47" s="4" t="s">
        <v>93</v>
      </c>
      <c r="H47" s="4"/>
      <c r="I47" s="4"/>
      <c r="J47" s="4"/>
      <c r="K47" s="4"/>
      <c r="L47" s="18"/>
      <c r="M47" s="21"/>
      <c r="N47" s="21"/>
      <c r="O47" s="23"/>
      <c r="P47" s="13"/>
      <c r="Q47" s="23"/>
      <c r="R47" s="4"/>
      <c r="S47" s="4"/>
      <c r="T47" s="4"/>
      <c r="U47" s="4"/>
    </row>
    <row r="48" spans="1:21" ht="15.7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18"/>
      <c r="M48" s="21"/>
      <c r="N48" s="21"/>
      <c r="O48" s="23"/>
      <c r="P48" s="13"/>
      <c r="Q48" s="23"/>
      <c r="R48" s="4"/>
      <c r="S48" s="4"/>
      <c r="T48" s="4"/>
      <c r="U48" s="4"/>
    </row>
    <row r="49" spans="1:21" ht="15.7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18"/>
      <c r="M49" s="21"/>
      <c r="N49" s="21"/>
      <c r="O49" s="23"/>
      <c r="P49" s="13"/>
      <c r="Q49" s="23"/>
      <c r="R49" s="4"/>
      <c r="S49" s="4"/>
      <c r="T49" s="4"/>
      <c r="U49" s="4"/>
    </row>
    <row r="50" spans="1:21" ht="15.75" x14ac:dyDescent="0.25">
      <c r="A50" s="4"/>
      <c r="B50" s="4"/>
      <c r="C50" s="4"/>
      <c r="D50" s="4"/>
      <c r="E50" s="4"/>
      <c r="F50" s="4" t="s">
        <v>65</v>
      </c>
      <c r="G50" s="4" t="s">
        <v>91</v>
      </c>
      <c r="H50" s="4"/>
      <c r="I50" s="4"/>
      <c r="J50" s="4"/>
      <c r="K50" s="4"/>
      <c r="L50" s="18">
        <v>1063</v>
      </c>
      <c r="M50" s="21" t="s">
        <v>9</v>
      </c>
      <c r="N50" s="21"/>
      <c r="O50" s="23">
        <v>8.19</v>
      </c>
      <c r="P50" s="13"/>
      <c r="Q50" s="23">
        <f>SUM(L50*O50)</f>
        <v>8705.9699999999993</v>
      </c>
      <c r="R50" s="4"/>
      <c r="S50" s="4"/>
      <c r="T50" s="4"/>
      <c r="U50" s="4"/>
    </row>
    <row r="51" spans="1:21" ht="15.75" x14ac:dyDescent="0.25">
      <c r="A51" s="4"/>
      <c r="B51" s="4"/>
      <c r="C51" s="4"/>
      <c r="D51" s="4"/>
      <c r="E51" s="4"/>
      <c r="F51" s="4"/>
      <c r="G51" s="4" t="s">
        <v>94</v>
      </c>
      <c r="H51" s="4"/>
      <c r="I51" s="4"/>
      <c r="J51" s="4"/>
      <c r="K51" s="4"/>
      <c r="L51" s="4"/>
      <c r="M51" s="21"/>
      <c r="N51" s="21"/>
      <c r="O51" s="23"/>
      <c r="P51" s="13"/>
      <c r="Q51" s="23"/>
      <c r="R51" s="4"/>
      <c r="S51" s="4"/>
      <c r="T51" s="4"/>
      <c r="U51" s="4"/>
    </row>
    <row r="52" spans="1:21" ht="15.75" x14ac:dyDescent="0.25">
      <c r="A52" s="4"/>
      <c r="B52" s="4"/>
      <c r="C52" s="4"/>
      <c r="D52" s="4"/>
      <c r="E52" s="4"/>
      <c r="F52" s="4"/>
      <c r="G52" s="4" t="s">
        <v>113</v>
      </c>
      <c r="H52" s="9"/>
      <c r="I52" s="4"/>
      <c r="J52" s="4"/>
      <c r="K52" s="4"/>
      <c r="L52" s="18"/>
      <c r="M52" s="21"/>
      <c r="N52" s="21"/>
      <c r="O52" s="23"/>
      <c r="P52" s="13"/>
      <c r="Q52" s="23"/>
      <c r="R52" s="4"/>
      <c r="S52" s="4"/>
      <c r="T52" s="4"/>
      <c r="U52" s="4"/>
    </row>
    <row r="53" spans="1:21" ht="15.75" x14ac:dyDescent="0.25">
      <c r="A53" s="4"/>
      <c r="B53" s="4"/>
      <c r="C53" s="4"/>
      <c r="D53" s="4"/>
      <c r="E53" s="4"/>
      <c r="F53" s="4"/>
      <c r="G53" s="4" t="s">
        <v>124</v>
      </c>
      <c r="H53" s="9"/>
      <c r="I53" s="4"/>
      <c r="J53" s="4"/>
      <c r="K53" s="4"/>
      <c r="L53" s="18"/>
      <c r="M53" s="21"/>
      <c r="N53" s="21"/>
      <c r="O53" s="23"/>
      <c r="P53" s="13"/>
      <c r="Q53" s="23"/>
      <c r="R53" s="4"/>
      <c r="S53" s="4"/>
      <c r="T53" s="4"/>
      <c r="U53" s="4"/>
    </row>
    <row r="54" spans="1:21" ht="15.75" x14ac:dyDescent="0.25">
      <c r="A54" s="4"/>
      <c r="B54" s="4"/>
      <c r="C54" s="4"/>
      <c r="D54" s="4"/>
      <c r="E54" s="4"/>
      <c r="F54" s="4"/>
      <c r="G54" s="4" t="s">
        <v>60</v>
      </c>
      <c r="H54" s="9"/>
      <c r="I54" s="4"/>
      <c r="J54" s="4"/>
      <c r="K54" s="4"/>
      <c r="L54" s="18"/>
      <c r="M54" s="21"/>
      <c r="N54" s="21"/>
      <c r="O54" s="23"/>
      <c r="P54" s="13"/>
      <c r="Q54" s="23"/>
      <c r="R54" s="4"/>
      <c r="S54" s="4"/>
      <c r="T54" s="4"/>
      <c r="U54" s="4"/>
    </row>
    <row r="55" spans="1:21" ht="15.75" x14ac:dyDescent="0.25">
      <c r="A55" s="4"/>
      <c r="B55" s="4"/>
      <c r="C55" s="4"/>
      <c r="D55" s="4"/>
      <c r="E55" s="4"/>
      <c r="F55" s="4"/>
      <c r="G55" s="4" t="s">
        <v>67</v>
      </c>
      <c r="H55" s="4"/>
      <c r="I55" s="4"/>
      <c r="J55" s="4"/>
      <c r="K55" s="4"/>
      <c r="L55" s="18"/>
      <c r="M55" s="21"/>
      <c r="N55" s="21"/>
      <c r="O55" s="23"/>
      <c r="P55" s="13"/>
      <c r="Q55" s="23"/>
      <c r="R55" s="4"/>
      <c r="S55" s="4"/>
      <c r="T55" s="4"/>
      <c r="U55" s="4"/>
    </row>
    <row r="56" spans="1:21" ht="15.75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18"/>
      <c r="M56" s="21"/>
      <c r="N56" s="21"/>
      <c r="O56" s="23"/>
      <c r="P56" s="13"/>
      <c r="Q56" s="23"/>
      <c r="R56" s="4"/>
      <c r="S56" s="4"/>
      <c r="T56" s="4"/>
      <c r="U56" s="4"/>
    </row>
    <row r="57" spans="1:21" ht="15.75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18"/>
      <c r="M57" s="21"/>
      <c r="N57" s="21"/>
      <c r="O57" s="23"/>
      <c r="P57" s="13"/>
      <c r="Q57" s="23"/>
      <c r="R57" s="4"/>
      <c r="S57" s="4"/>
      <c r="T57" s="4"/>
      <c r="U57" s="4"/>
    </row>
    <row r="58" spans="1:21" ht="15.75" x14ac:dyDescent="0.25">
      <c r="A58" s="4"/>
      <c r="B58" s="4"/>
      <c r="C58" s="4"/>
      <c r="D58" s="4"/>
      <c r="E58" s="4"/>
      <c r="F58" s="4" t="s">
        <v>95</v>
      </c>
      <c r="G58" s="4" t="s">
        <v>79</v>
      </c>
      <c r="H58" s="4"/>
      <c r="I58" s="4"/>
      <c r="J58" s="4"/>
      <c r="K58" s="4"/>
      <c r="L58" s="18">
        <v>411</v>
      </c>
      <c r="M58" s="326" t="s">
        <v>9</v>
      </c>
      <c r="N58" s="21"/>
      <c r="O58" s="23">
        <v>8.31</v>
      </c>
      <c r="P58" s="13"/>
      <c r="Q58" s="23">
        <f>SUM(L58*O58)</f>
        <v>3415.4100000000003</v>
      </c>
      <c r="R58" s="4"/>
      <c r="S58" s="4"/>
      <c r="T58" s="4"/>
      <c r="U58" s="4"/>
    </row>
    <row r="59" spans="1:21" ht="15.75" x14ac:dyDescent="0.25">
      <c r="A59" s="4"/>
      <c r="B59" s="4"/>
      <c r="C59" s="4"/>
      <c r="D59" s="4"/>
      <c r="E59" s="4"/>
      <c r="F59" s="4"/>
      <c r="G59" s="4" t="s">
        <v>105</v>
      </c>
      <c r="H59" s="4"/>
      <c r="I59" s="4"/>
      <c r="J59" s="4"/>
      <c r="K59" s="4"/>
      <c r="L59" s="18"/>
      <c r="M59" s="21"/>
      <c r="N59" s="21"/>
      <c r="O59" s="23"/>
      <c r="P59" s="13"/>
      <c r="Q59" s="23"/>
      <c r="R59" s="4"/>
      <c r="S59" s="4"/>
      <c r="T59" s="4"/>
      <c r="U59" s="4"/>
    </row>
    <row r="60" spans="1:21" ht="15.75" x14ac:dyDescent="0.25">
      <c r="A60" s="4"/>
      <c r="B60" s="4"/>
      <c r="C60" s="4"/>
      <c r="D60" s="4"/>
      <c r="E60" s="4"/>
      <c r="F60" s="4"/>
      <c r="G60" s="4" t="s">
        <v>68</v>
      </c>
      <c r="H60" s="4"/>
      <c r="I60" s="4"/>
      <c r="J60" s="4"/>
      <c r="K60" s="4"/>
      <c r="L60" s="18"/>
      <c r="M60" s="21"/>
      <c r="N60" s="21"/>
      <c r="O60" s="23"/>
      <c r="P60" s="13"/>
      <c r="Q60" s="23"/>
      <c r="R60" s="4"/>
      <c r="S60" s="4"/>
      <c r="T60" s="4"/>
      <c r="U60" s="4"/>
    </row>
    <row r="61" spans="1:21" ht="15.75" x14ac:dyDescent="0.25">
      <c r="A61" s="4"/>
      <c r="B61" s="4"/>
      <c r="C61" s="4"/>
      <c r="D61" s="4"/>
      <c r="E61" s="4"/>
      <c r="F61" s="4"/>
      <c r="G61" s="4" t="s">
        <v>115</v>
      </c>
      <c r="H61" s="4"/>
      <c r="I61" s="4"/>
      <c r="J61" s="4"/>
      <c r="K61" s="4"/>
      <c r="L61" s="18"/>
      <c r="M61" s="21"/>
      <c r="N61" s="21"/>
      <c r="O61" s="23"/>
      <c r="P61" s="13"/>
      <c r="Q61" s="23"/>
      <c r="R61" s="4"/>
      <c r="S61" s="4"/>
      <c r="T61" s="4"/>
      <c r="U61" s="4"/>
    </row>
    <row r="62" spans="1:21" ht="15.75" x14ac:dyDescent="0.25">
      <c r="A62" s="4"/>
      <c r="B62" s="4"/>
      <c r="C62" s="4"/>
      <c r="D62" s="4"/>
      <c r="E62" s="4"/>
      <c r="F62" s="4"/>
      <c r="G62" s="4" t="s">
        <v>116</v>
      </c>
      <c r="H62" s="4"/>
      <c r="I62" s="4"/>
      <c r="J62" s="4"/>
      <c r="K62" s="4"/>
      <c r="L62" s="18"/>
      <c r="M62" s="21"/>
      <c r="N62" s="21"/>
      <c r="O62" s="23"/>
      <c r="P62" s="13"/>
      <c r="Q62" s="23"/>
      <c r="R62" s="4"/>
      <c r="S62" s="4"/>
      <c r="T62" s="4"/>
      <c r="U62" s="4"/>
    </row>
    <row r="63" spans="1:21" ht="15.75" x14ac:dyDescent="0.25">
      <c r="A63" s="4"/>
      <c r="B63" s="4"/>
      <c r="C63" s="4"/>
      <c r="D63" s="4"/>
      <c r="E63" s="4"/>
      <c r="F63" s="4"/>
      <c r="G63" s="4" t="s">
        <v>106</v>
      </c>
      <c r="H63" s="4"/>
      <c r="I63" s="4"/>
      <c r="J63" s="4"/>
      <c r="K63" s="4"/>
      <c r="L63" s="18"/>
      <c r="M63" s="21"/>
      <c r="N63" s="21"/>
      <c r="O63" s="23"/>
      <c r="P63" s="13"/>
      <c r="Q63" s="23"/>
      <c r="R63" s="4"/>
      <c r="S63" s="4"/>
      <c r="T63" s="4"/>
      <c r="U63" s="4"/>
    </row>
    <row r="64" spans="1:21" ht="15.75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8"/>
      <c r="M64" s="21"/>
      <c r="N64" s="21"/>
      <c r="O64" s="23"/>
      <c r="P64" s="13"/>
      <c r="Q64" s="23"/>
      <c r="R64" s="4"/>
      <c r="S64" s="4"/>
      <c r="T64" s="4"/>
      <c r="U64" s="4"/>
    </row>
    <row r="65" spans="1:21" ht="15.75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8"/>
      <c r="M65" s="21"/>
      <c r="N65" s="21"/>
      <c r="O65" s="23"/>
      <c r="P65" s="13"/>
      <c r="Q65" s="23"/>
      <c r="R65" s="4"/>
      <c r="S65" s="4"/>
      <c r="T65" s="4"/>
      <c r="U65" s="4"/>
    </row>
    <row r="66" spans="1:21" ht="15.75" x14ac:dyDescent="0.25">
      <c r="A66" s="4"/>
      <c r="B66" s="4"/>
      <c r="C66" s="4"/>
      <c r="D66" s="4"/>
      <c r="E66" s="4"/>
      <c r="F66" s="4" t="s">
        <v>96</v>
      </c>
      <c r="G66" s="4" t="s">
        <v>79</v>
      </c>
      <c r="H66" s="4"/>
      <c r="I66" s="4"/>
      <c r="J66" s="4"/>
      <c r="K66" s="4"/>
      <c r="L66" s="18">
        <v>206</v>
      </c>
      <c r="M66" s="326" t="s">
        <v>9</v>
      </c>
      <c r="N66" s="21"/>
      <c r="O66" s="23">
        <v>8.31</v>
      </c>
      <c r="P66" s="13"/>
      <c r="Q66" s="23">
        <f>SUM(L66*O66)</f>
        <v>1711.8600000000001</v>
      </c>
      <c r="R66" s="4"/>
      <c r="S66" s="4"/>
      <c r="T66" s="4"/>
      <c r="U66" s="4"/>
    </row>
    <row r="67" spans="1:21" ht="15.75" x14ac:dyDescent="0.25">
      <c r="A67" s="4"/>
      <c r="B67" s="4"/>
      <c r="C67" s="4"/>
      <c r="D67" s="4"/>
      <c r="E67" s="4"/>
      <c r="F67" s="4"/>
      <c r="G67" s="4" t="s">
        <v>107</v>
      </c>
      <c r="H67" s="4"/>
      <c r="I67" s="4"/>
      <c r="J67" s="4"/>
      <c r="K67" s="4"/>
      <c r="L67" s="18"/>
      <c r="M67" s="21"/>
      <c r="N67" s="21"/>
      <c r="O67" s="23"/>
      <c r="P67" s="13"/>
      <c r="Q67" s="23"/>
      <c r="R67" s="4"/>
      <c r="S67" s="4"/>
      <c r="T67" s="4"/>
      <c r="U67" s="4"/>
    </row>
    <row r="68" spans="1:21" ht="15.75" x14ac:dyDescent="0.25">
      <c r="A68" s="4"/>
      <c r="B68" s="4"/>
      <c r="C68" s="4"/>
      <c r="D68" s="4"/>
      <c r="E68" s="4"/>
      <c r="F68" s="4"/>
      <c r="G68" s="4" t="s">
        <v>68</v>
      </c>
      <c r="H68" s="4"/>
      <c r="I68" s="4"/>
      <c r="J68" s="4"/>
      <c r="K68" s="4"/>
      <c r="L68" s="18"/>
      <c r="M68" s="21"/>
      <c r="N68" s="21"/>
      <c r="O68" s="23"/>
      <c r="P68" s="13"/>
      <c r="Q68" s="23"/>
      <c r="R68" s="4"/>
      <c r="S68" s="4"/>
      <c r="T68" s="4"/>
      <c r="U68" s="4"/>
    </row>
    <row r="69" spans="1:21" ht="15.75" x14ac:dyDescent="0.25">
      <c r="A69" s="4"/>
      <c r="B69" s="4"/>
      <c r="C69" s="4"/>
      <c r="D69" s="4"/>
      <c r="E69" s="4"/>
      <c r="F69" s="4"/>
      <c r="G69" s="4" t="s">
        <v>117</v>
      </c>
      <c r="H69" s="4"/>
      <c r="I69" s="4"/>
      <c r="J69" s="4"/>
      <c r="K69" s="4"/>
      <c r="L69" s="18"/>
      <c r="M69" s="21"/>
      <c r="N69" s="21"/>
      <c r="O69" s="23"/>
      <c r="P69" s="13"/>
      <c r="Q69" s="23"/>
      <c r="R69" s="4"/>
      <c r="S69" s="4"/>
      <c r="T69" s="4"/>
      <c r="U69" s="4"/>
    </row>
    <row r="70" spans="1:21" ht="15.75" x14ac:dyDescent="0.25">
      <c r="A70" s="4"/>
      <c r="B70" s="4"/>
      <c r="C70" s="4"/>
      <c r="D70" s="4"/>
      <c r="E70" s="4"/>
      <c r="F70" s="4"/>
      <c r="G70" s="4" t="s">
        <v>60</v>
      </c>
      <c r="H70" s="4"/>
      <c r="I70" s="4"/>
      <c r="J70" s="4"/>
      <c r="K70" s="4"/>
      <c r="L70" s="18"/>
      <c r="M70" s="21"/>
      <c r="N70" s="21"/>
      <c r="O70" s="23"/>
      <c r="P70" s="13"/>
      <c r="Q70" s="23"/>
      <c r="R70" s="4"/>
      <c r="S70" s="4"/>
      <c r="T70" s="4"/>
      <c r="U70" s="4"/>
    </row>
    <row r="71" spans="1:21" ht="15.75" x14ac:dyDescent="0.25">
      <c r="A71" s="4"/>
      <c r="B71" s="4"/>
      <c r="C71" s="4"/>
      <c r="D71" s="4"/>
      <c r="E71" s="4"/>
      <c r="F71" s="4"/>
      <c r="G71" s="4" t="s">
        <v>66</v>
      </c>
      <c r="H71" s="4"/>
      <c r="I71" s="4"/>
      <c r="J71" s="4"/>
      <c r="K71" s="4"/>
      <c r="L71" s="18"/>
      <c r="M71" s="21"/>
      <c r="N71" s="21"/>
      <c r="O71" s="23"/>
      <c r="P71" s="13"/>
      <c r="Q71" s="23"/>
      <c r="R71" s="4"/>
      <c r="S71" s="4"/>
      <c r="T71" s="4"/>
      <c r="U71" s="4"/>
    </row>
    <row r="72" spans="1:21" ht="15.75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8"/>
      <c r="M72" s="21"/>
      <c r="N72" s="21"/>
      <c r="O72" s="23"/>
      <c r="P72" s="13"/>
      <c r="Q72" s="23"/>
      <c r="R72" s="4"/>
      <c r="S72" s="4"/>
      <c r="T72" s="4"/>
      <c r="U72" s="4"/>
    </row>
    <row r="73" spans="1:21" ht="15.75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8"/>
      <c r="M73" s="21"/>
      <c r="N73" s="21"/>
      <c r="O73" s="23"/>
      <c r="P73" s="13"/>
      <c r="Q73" s="23"/>
      <c r="R73" s="4"/>
      <c r="S73" s="4"/>
      <c r="T73" s="4"/>
      <c r="U73" s="4"/>
    </row>
    <row r="74" spans="1:21" ht="15.75" x14ac:dyDescent="0.25">
      <c r="A74" s="4"/>
      <c r="B74" s="4"/>
      <c r="C74" s="4"/>
      <c r="D74" s="4"/>
      <c r="E74" s="4"/>
      <c r="F74" s="4" t="s">
        <v>97</v>
      </c>
      <c r="G74" s="4" t="s">
        <v>79</v>
      </c>
      <c r="H74" s="4"/>
      <c r="I74" s="4"/>
      <c r="J74" s="4"/>
      <c r="K74" s="4"/>
      <c r="L74" s="18">
        <v>203</v>
      </c>
      <c r="M74" s="326" t="s">
        <v>9</v>
      </c>
      <c r="N74" s="21"/>
      <c r="O74" s="23">
        <v>8.31</v>
      </c>
      <c r="P74" s="13"/>
      <c r="Q74" s="23">
        <f>SUM(L74*O74)</f>
        <v>1686.93</v>
      </c>
      <c r="R74" s="4"/>
      <c r="S74" s="4"/>
      <c r="T74" s="4"/>
      <c r="U74" s="4"/>
    </row>
    <row r="75" spans="1:21" ht="15.75" x14ac:dyDescent="0.25">
      <c r="A75" s="4"/>
      <c r="B75" s="4"/>
      <c r="C75" s="4"/>
      <c r="D75" s="4"/>
      <c r="E75" s="4"/>
      <c r="F75" s="4"/>
      <c r="G75" s="4" t="s">
        <v>80</v>
      </c>
      <c r="H75" s="4"/>
      <c r="I75" s="4"/>
      <c r="J75" s="4"/>
      <c r="K75" s="4"/>
      <c r="L75" s="18"/>
      <c r="M75" s="21"/>
      <c r="N75" s="21"/>
      <c r="O75" s="23"/>
      <c r="P75" s="13"/>
      <c r="Q75" s="23"/>
      <c r="R75" s="4"/>
      <c r="S75" s="4"/>
      <c r="T75" s="4"/>
      <c r="U75" s="4"/>
    </row>
    <row r="76" spans="1:21" ht="15.75" x14ac:dyDescent="0.25">
      <c r="A76" s="4"/>
      <c r="B76" s="4"/>
      <c r="C76" s="4"/>
      <c r="D76" s="4"/>
      <c r="E76" s="4"/>
      <c r="F76" s="4"/>
      <c r="G76" s="4" t="s">
        <v>68</v>
      </c>
      <c r="H76" s="4"/>
      <c r="I76" s="4"/>
      <c r="J76" s="4"/>
      <c r="K76" s="4"/>
      <c r="L76" s="18"/>
      <c r="M76" s="21"/>
      <c r="N76" s="21"/>
      <c r="O76" s="23"/>
      <c r="P76" s="13"/>
      <c r="Q76" s="23"/>
      <c r="R76" s="4"/>
      <c r="S76" s="4"/>
      <c r="T76" s="4"/>
      <c r="U76" s="4"/>
    </row>
    <row r="77" spans="1:21" ht="15.75" x14ac:dyDescent="0.25">
      <c r="A77" s="4"/>
      <c r="B77" s="4"/>
      <c r="C77" s="4"/>
      <c r="D77" s="4"/>
      <c r="E77" s="4"/>
      <c r="F77" s="4"/>
      <c r="G77" s="4" t="s">
        <v>82</v>
      </c>
      <c r="H77" s="4"/>
      <c r="I77" s="4"/>
      <c r="J77" s="4"/>
      <c r="K77" s="4"/>
      <c r="L77" s="18"/>
      <c r="M77" s="21"/>
      <c r="N77" s="21"/>
      <c r="O77" s="23"/>
      <c r="P77" s="13"/>
      <c r="Q77" s="23"/>
      <c r="R77" s="4"/>
      <c r="S77" s="4"/>
      <c r="T77" s="4"/>
      <c r="U77" s="4"/>
    </row>
    <row r="78" spans="1:21" ht="15.75" x14ac:dyDescent="0.25">
      <c r="A78" s="4"/>
      <c r="B78" s="4"/>
      <c r="C78" s="4"/>
      <c r="D78" s="4"/>
      <c r="E78" s="4"/>
      <c r="F78" s="4"/>
      <c r="G78" s="4" t="s">
        <v>60</v>
      </c>
      <c r="H78" s="4"/>
      <c r="I78" s="4"/>
      <c r="J78" s="4"/>
      <c r="K78" s="4"/>
      <c r="L78" s="18"/>
      <c r="M78" s="21"/>
      <c r="N78" s="21"/>
      <c r="O78" s="23"/>
      <c r="P78" s="13"/>
      <c r="Q78" s="23"/>
      <c r="R78" s="4"/>
      <c r="S78" s="4"/>
      <c r="T78" s="4"/>
      <c r="U78" s="4"/>
    </row>
    <row r="79" spans="1:21" ht="15.75" x14ac:dyDescent="0.25">
      <c r="A79" s="4"/>
      <c r="B79" s="4"/>
      <c r="C79" s="4"/>
      <c r="D79" s="4"/>
      <c r="E79" s="4"/>
      <c r="F79" s="4"/>
      <c r="G79" s="4" t="s">
        <v>66</v>
      </c>
      <c r="H79" s="4"/>
      <c r="I79" s="4"/>
      <c r="J79" s="4"/>
      <c r="K79" s="4"/>
      <c r="L79" s="18"/>
      <c r="M79" s="21"/>
      <c r="N79" s="21"/>
      <c r="O79" s="23"/>
      <c r="P79" s="13"/>
      <c r="Q79" s="23"/>
      <c r="R79" s="4"/>
      <c r="S79" s="4"/>
      <c r="T79" s="4"/>
      <c r="U79" s="4"/>
    </row>
    <row r="80" spans="1:21" ht="15.75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8"/>
      <c r="M80" s="21"/>
      <c r="N80" s="21"/>
      <c r="O80" s="23"/>
      <c r="P80" s="13"/>
      <c r="Q80" s="23"/>
      <c r="R80" s="4"/>
      <c r="S80" s="4"/>
      <c r="T80" s="4"/>
      <c r="U80" s="4"/>
    </row>
    <row r="81" spans="1:21" ht="15.75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8"/>
      <c r="M81" s="21"/>
      <c r="N81" s="21"/>
      <c r="O81" s="23"/>
      <c r="P81" s="13"/>
      <c r="Q81" s="23"/>
      <c r="R81" s="4"/>
      <c r="S81" s="4"/>
      <c r="T81" s="4"/>
      <c r="U81" s="4"/>
    </row>
    <row r="82" spans="1:21" ht="15.75" x14ac:dyDescent="0.25">
      <c r="A82" s="4"/>
      <c r="B82" s="4"/>
      <c r="C82" s="4"/>
      <c r="D82" s="4"/>
      <c r="E82" s="4"/>
      <c r="F82" s="4" t="s">
        <v>98</v>
      </c>
      <c r="G82" s="4" t="s">
        <v>79</v>
      </c>
      <c r="H82" s="4"/>
      <c r="I82" s="4"/>
      <c r="J82" s="4"/>
      <c r="K82" s="4"/>
      <c r="L82" s="18">
        <v>203</v>
      </c>
      <c r="M82" s="326" t="s">
        <v>9</v>
      </c>
      <c r="N82" s="21"/>
      <c r="O82" s="23">
        <v>8.31</v>
      </c>
      <c r="P82" s="13"/>
      <c r="Q82" s="23">
        <f>SUM(L82*O82)</f>
        <v>1686.93</v>
      </c>
      <c r="R82" s="4"/>
      <c r="S82" s="4"/>
      <c r="T82" s="4"/>
      <c r="U82" s="4"/>
    </row>
    <row r="83" spans="1:21" ht="15.75" x14ac:dyDescent="0.25">
      <c r="A83" s="4"/>
      <c r="B83" s="4"/>
      <c r="C83" s="4"/>
      <c r="D83" s="4"/>
      <c r="E83" s="4"/>
      <c r="F83" s="4"/>
      <c r="G83" s="4" t="s">
        <v>108</v>
      </c>
      <c r="H83" s="4"/>
      <c r="I83" s="4"/>
      <c r="J83" s="4"/>
      <c r="K83" s="4"/>
      <c r="L83" s="18"/>
      <c r="M83" s="21"/>
      <c r="N83" s="21"/>
      <c r="O83" s="23"/>
      <c r="P83" s="13"/>
      <c r="Q83" s="23"/>
      <c r="R83" s="4"/>
      <c r="S83" s="4"/>
      <c r="T83" s="4"/>
      <c r="U83" s="4"/>
    </row>
    <row r="84" spans="1:21" ht="15.75" x14ac:dyDescent="0.25">
      <c r="A84" s="4"/>
      <c r="B84" s="4"/>
      <c r="C84" s="4"/>
      <c r="D84" s="4"/>
      <c r="E84" s="4"/>
      <c r="F84" s="4"/>
      <c r="G84" s="4" t="s">
        <v>68</v>
      </c>
      <c r="H84" s="4"/>
      <c r="I84" s="4"/>
      <c r="J84" s="4"/>
      <c r="K84" s="4"/>
      <c r="L84" s="18"/>
      <c r="M84" s="21"/>
      <c r="N84" s="21"/>
      <c r="O84" s="23"/>
      <c r="P84" s="13"/>
      <c r="Q84" s="23"/>
      <c r="R84" s="4"/>
      <c r="S84" s="4"/>
      <c r="T84" s="4"/>
      <c r="U84" s="4"/>
    </row>
    <row r="85" spans="1:21" ht="15.75" x14ac:dyDescent="0.25">
      <c r="A85" s="4"/>
      <c r="B85" s="4"/>
      <c r="C85" s="4"/>
      <c r="D85" s="4"/>
      <c r="E85" s="4"/>
      <c r="F85" s="4"/>
      <c r="G85" s="4" t="s">
        <v>118</v>
      </c>
      <c r="H85" s="4"/>
      <c r="I85" s="4"/>
      <c r="J85" s="4"/>
      <c r="K85" s="4"/>
      <c r="L85" s="18"/>
      <c r="M85" s="21"/>
      <c r="N85" s="21"/>
      <c r="O85" s="23"/>
      <c r="P85" s="13"/>
      <c r="Q85" s="23"/>
      <c r="R85" s="4"/>
      <c r="S85" s="4"/>
      <c r="T85" s="4"/>
      <c r="U85" s="4"/>
    </row>
    <row r="86" spans="1:21" ht="15.75" x14ac:dyDescent="0.25">
      <c r="A86" s="4"/>
      <c r="B86" s="4"/>
      <c r="C86" s="4"/>
      <c r="D86" s="4"/>
      <c r="E86" s="4"/>
      <c r="F86" s="4"/>
      <c r="G86" s="4" t="s">
        <v>112</v>
      </c>
      <c r="H86" s="4"/>
      <c r="I86" s="4"/>
      <c r="J86" s="4"/>
      <c r="K86" s="4"/>
      <c r="L86" s="18"/>
      <c r="M86" s="21"/>
      <c r="N86" s="21"/>
      <c r="O86" s="23"/>
      <c r="P86" s="13"/>
      <c r="Q86" s="23"/>
      <c r="R86" s="4"/>
      <c r="S86" s="4"/>
      <c r="T86" s="4"/>
      <c r="U86" s="4"/>
    </row>
    <row r="87" spans="1:21" ht="15.75" x14ac:dyDescent="0.25">
      <c r="A87" s="4"/>
      <c r="B87" s="4"/>
      <c r="C87" s="4"/>
      <c r="D87" s="4"/>
      <c r="E87" s="4"/>
      <c r="F87" s="4"/>
      <c r="G87" s="4" t="s">
        <v>66</v>
      </c>
      <c r="H87" s="4"/>
      <c r="I87" s="4"/>
      <c r="J87" s="4"/>
      <c r="K87" s="4"/>
      <c r="L87" s="18"/>
      <c r="M87" s="21"/>
      <c r="N87" s="21"/>
      <c r="O87" s="23"/>
      <c r="P87" s="13"/>
      <c r="Q87" s="23"/>
      <c r="R87" s="4"/>
      <c r="S87" s="4"/>
      <c r="T87" s="4"/>
      <c r="U87" s="4"/>
    </row>
    <row r="88" spans="1:21" ht="15.75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8"/>
      <c r="M88" s="21"/>
      <c r="N88" s="21"/>
      <c r="O88" s="23"/>
      <c r="P88" s="13"/>
      <c r="Q88" s="23"/>
      <c r="R88" s="4"/>
      <c r="S88" s="4"/>
      <c r="T88" s="4"/>
      <c r="U88" s="4"/>
    </row>
    <row r="89" spans="1:21" ht="15.75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8"/>
      <c r="M89" s="21"/>
      <c r="N89" s="21"/>
      <c r="O89" s="23"/>
      <c r="P89" s="13"/>
      <c r="Q89" s="23"/>
      <c r="R89" s="4"/>
      <c r="S89" s="4"/>
      <c r="T89" s="4"/>
      <c r="U89" s="4"/>
    </row>
    <row r="90" spans="1:21" ht="15.75" x14ac:dyDescent="0.25">
      <c r="A90" s="4"/>
      <c r="B90" s="4"/>
      <c r="C90" s="4"/>
      <c r="D90" s="4"/>
      <c r="E90" s="4"/>
      <c r="F90" s="4" t="s">
        <v>99</v>
      </c>
      <c r="G90" s="4" t="s">
        <v>79</v>
      </c>
      <c r="H90" s="4"/>
      <c r="I90" s="4"/>
      <c r="J90" s="4"/>
      <c r="K90" s="4"/>
      <c r="L90" s="18">
        <v>214</v>
      </c>
      <c r="M90" s="326" t="s">
        <v>9</v>
      </c>
      <c r="N90" s="21"/>
      <c r="O90" s="23">
        <v>8.31</v>
      </c>
      <c r="P90" s="13"/>
      <c r="Q90" s="23">
        <f>SUM(L90*O90)</f>
        <v>1778.3400000000001</v>
      </c>
      <c r="R90" s="4"/>
      <c r="S90" s="4"/>
      <c r="T90" s="4"/>
      <c r="U90" s="4"/>
    </row>
    <row r="91" spans="1:21" ht="15.75" x14ac:dyDescent="0.25">
      <c r="A91" s="4"/>
      <c r="B91" s="4"/>
      <c r="C91" s="4"/>
      <c r="D91" s="4"/>
      <c r="E91" s="4"/>
      <c r="F91" s="4"/>
      <c r="G91" s="4" t="s">
        <v>104</v>
      </c>
      <c r="H91" s="4"/>
      <c r="I91" s="4"/>
      <c r="J91" s="4"/>
      <c r="K91" s="4"/>
      <c r="L91" s="18"/>
      <c r="M91" s="21"/>
      <c r="N91" s="21"/>
      <c r="O91" s="23"/>
      <c r="P91" s="13"/>
      <c r="Q91" s="23"/>
      <c r="R91" s="4"/>
      <c r="S91" s="4"/>
      <c r="T91" s="4"/>
      <c r="U91" s="4"/>
    </row>
    <row r="92" spans="1:21" ht="15.75" x14ac:dyDescent="0.25">
      <c r="A92" s="4"/>
      <c r="B92" s="4"/>
      <c r="C92" s="4"/>
      <c r="D92" s="4"/>
      <c r="E92" s="4"/>
      <c r="F92" s="4"/>
      <c r="G92" s="4" t="s">
        <v>68</v>
      </c>
      <c r="H92" s="4"/>
      <c r="I92" s="4"/>
      <c r="J92" s="4"/>
      <c r="K92" s="4"/>
      <c r="L92" s="18"/>
      <c r="M92" s="21"/>
      <c r="N92" s="21"/>
      <c r="O92" s="23"/>
      <c r="P92" s="13"/>
      <c r="Q92" s="23"/>
      <c r="R92" s="4"/>
      <c r="S92" s="4"/>
      <c r="T92" s="4"/>
      <c r="U92" s="4"/>
    </row>
    <row r="93" spans="1:21" ht="15.75" x14ac:dyDescent="0.25">
      <c r="A93" s="4"/>
      <c r="B93" s="4"/>
      <c r="C93" s="4"/>
      <c r="D93" s="4"/>
      <c r="E93" s="4"/>
      <c r="F93" s="4"/>
      <c r="G93" s="4" t="s">
        <v>119</v>
      </c>
      <c r="H93" s="4"/>
      <c r="I93" s="4"/>
      <c r="J93" s="4"/>
      <c r="K93" s="4"/>
      <c r="L93" s="18"/>
      <c r="M93" s="21"/>
      <c r="N93" s="21"/>
      <c r="O93" s="23"/>
      <c r="P93" s="13"/>
      <c r="Q93" s="23"/>
      <c r="R93" s="4"/>
      <c r="S93" s="4"/>
      <c r="T93" s="4"/>
      <c r="U93" s="4"/>
    </row>
    <row r="94" spans="1:21" ht="15.75" x14ac:dyDescent="0.25">
      <c r="A94" s="4"/>
      <c r="B94" s="4"/>
      <c r="C94" s="4"/>
      <c r="D94" s="4"/>
      <c r="E94" s="4"/>
      <c r="F94" s="4"/>
      <c r="G94" s="4" t="s">
        <v>60</v>
      </c>
      <c r="H94" s="4"/>
      <c r="I94" s="4"/>
      <c r="J94" s="4"/>
      <c r="K94" s="4"/>
      <c r="L94" s="18"/>
      <c r="M94" s="21"/>
      <c r="N94" s="21"/>
      <c r="O94" s="23"/>
      <c r="P94" s="13"/>
      <c r="Q94" s="23"/>
      <c r="R94" s="4"/>
      <c r="S94" s="4"/>
      <c r="T94" s="4"/>
      <c r="U94" s="4"/>
    </row>
    <row r="95" spans="1:21" ht="15.75" x14ac:dyDescent="0.25">
      <c r="A95" s="4"/>
      <c r="B95" s="4"/>
      <c r="C95" s="4"/>
      <c r="D95" s="4"/>
      <c r="E95" s="4"/>
      <c r="F95" s="4"/>
      <c r="G95" s="4" t="s">
        <v>66</v>
      </c>
      <c r="H95" s="4"/>
      <c r="I95" s="4"/>
      <c r="J95" s="4"/>
      <c r="K95" s="4"/>
      <c r="L95" s="18"/>
      <c r="M95" s="21"/>
      <c r="N95" s="21"/>
      <c r="O95" s="23"/>
      <c r="P95" s="13"/>
      <c r="Q95" s="23"/>
      <c r="R95" s="4"/>
      <c r="S95" s="4"/>
      <c r="T95" s="4"/>
      <c r="U95" s="4"/>
    </row>
    <row r="96" spans="1:21" ht="15.75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18"/>
      <c r="M96" s="21"/>
      <c r="N96" s="21"/>
      <c r="O96" s="23"/>
      <c r="P96" s="13"/>
      <c r="Q96" s="23"/>
      <c r="R96" s="4"/>
      <c r="S96" s="4"/>
      <c r="T96" s="4"/>
      <c r="U96" s="4"/>
    </row>
    <row r="97" spans="1:21" ht="15.75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18"/>
      <c r="M97" s="21"/>
      <c r="N97" s="21"/>
      <c r="O97" s="23"/>
      <c r="P97" s="13"/>
      <c r="Q97" s="23"/>
      <c r="R97" s="4"/>
      <c r="S97" s="4"/>
      <c r="T97" s="4"/>
      <c r="U97" s="4"/>
    </row>
    <row r="98" spans="1:21" ht="15.75" x14ac:dyDescent="0.25">
      <c r="A98" s="4"/>
      <c r="B98" s="4"/>
      <c r="C98" s="4"/>
      <c r="D98" s="4"/>
      <c r="E98" s="4"/>
      <c r="F98" s="4" t="s">
        <v>100</v>
      </c>
      <c r="G98" s="4" t="s">
        <v>81</v>
      </c>
      <c r="H98" s="4"/>
      <c r="I98" s="4"/>
      <c r="J98" s="4"/>
      <c r="K98" s="4"/>
      <c r="L98" s="18">
        <v>109</v>
      </c>
      <c r="M98" s="326" t="s">
        <v>9</v>
      </c>
      <c r="N98" s="21"/>
      <c r="O98" s="23">
        <v>6.96</v>
      </c>
      <c r="P98" s="13"/>
      <c r="Q98" s="23">
        <f>SUM(L98*O98)</f>
        <v>758.64</v>
      </c>
      <c r="R98" s="4"/>
      <c r="S98" s="4"/>
      <c r="T98" s="4"/>
      <c r="U98" s="4"/>
    </row>
    <row r="99" spans="1:21" ht="15.75" x14ac:dyDescent="0.25">
      <c r="A99" s="4"/>
      <c r="B99" s="4"/>
      <c r="C99" s="4"/>
      <c r="D99" s="4"/>
      <c r="E99" s="4"/>
      <c r="F99" s="4"/>
      <c r="G99" s="4" t="s">
        <v>109</v>
      </c>
      <c r="H99" s="4"/>
      <c r="I99" s="4"/>
      <c r="J99" s="4"/>
      <c r="K99" s="4"/>
      <c r="L99" s="18"/>
      <c r="M99" s="21"/>
      <c r="N99" s="21"/>
      <c r="O99" s="23"/>
      <c r="P99" s="13"/>
      <c r="Q99" s="23"/>
      <c r="R99" s="4"/>
      <c r="S99" s="4"/>
      <c r="T99" s="4"/>
      <c r="U99" s="4"/>
    </row>
    <row r="100" spans="1:21" ht="16.5" x14ac:dyDescent="0.25">
      <c r="A100" s="4"/>
      <c r="B100" s="4"/>
      <c r="C100" s="4"/>
      <c r="D100" s="4"/>
      <c r="E100" s="4"/>
      <c r="F100" s="4"/>
      <c r="G100" s="4" t="s">
        <v>120</v>
      </c>
      <c r="H100" s="4"/>
      <c r="I100" s="4"/>
      <c r="J100"/>
      <c r="K100"/>
      <c r="L100"/>
      <c r="M100" s="21"/>
      <c r="N100" s="21"/>
      <c r="O100" s="23"/>
      <c r="P100" s="13"/>
      <c r="Q100" s="23"/>
      <c r="R100" s="4"/>
      <c r="S100" s="4"/>
      <c r="T100" s="4"/>
      <c r="U100" s="4"/>
    </row>
    <row r="101" spans="1:21" ht="16.5" x14ac:dyDescent="0.25">
      <c r="A101" s="4"/>
      <c r="B101" s="4"/>
      <c r="C101" s="4"/>
      <c r="D101" s="4"/>
      <c r="E101" s="4"/>
      <c r="F101" s="4"/>
      <c r="G101" s="4" t="s">
        <v>121</v>
      </c>
      <c r="H101" s="4"/>
      <c r="I101" s="4"/>
      <c r="J101"/>
      <c r="K101"/>
      <c r="L101"/>
      <c r="M101" s="21"/>
      <c r="N101" s="21"/>
      <c r="O101" s="23"/>
      <c r="P101" s="13"/>
      <c r="Q101" s="23"/>
      <c r="R101" s="4"/>
      <c r="S101" s="4"/>
      <c r="T101" s="4"/>
      <c r="U101" s="4"/>
    </row>
    <row r="102" spans="1:21" ht="16.5" x14ac:dyDescent="0.25">
      <c r="A102" s="4"/>
      <c r="B102" s="4"/>
      <c r="C102" s="4"/>
      <c r="D102" s="4"/>
      <c r="E102" s="4"/>
      <c r="F102" s="4"/>
      <c r="G102" s="4" t="s">
        <v>122</v>
      </c>
      <c r="H102" s="4"/>
      <c r="I102" s="4"/>
      <c r="J102"/>
      <c r="K102"/>
      <c r="L102"/>
      <c r="M102" s="21"/>
      <c r="N102" s="21"/>
      <c r="O102" s="23"/>
      <c r="P102" s="13"/>
      <c r="Q102" s="23"/>
      <c r="R102" s="4"/>
      <c r="S102" s="4"/>
      <c r="T102" s="4"/>
      <c r="U102" s="4"/>
    </row>
    <row r="103" spans="1:21" ht="15.75" x14ac:dyDescent="0.25">
      <c r="A103" s="4"/>
      <c r="B103" s="4"/>
      <c r="C103" s="4"/>
      <c r="D103" s="4"/>
      <c r="E103" s="4"/>
      <c r="F103" s="4"/>
      <c r="G103" s="4" t="s">
        <v>66</v>
      </c>
      <c r="H103" s="4"/>
      <c r="I103" s="4"/>
      <c r="J103" s="4"/>
      <c r="K103" s="4"/>
      <c r="L103" s="18"/>
      <c r="M103" s="21"/>
      <c r="N103" s="21"/>
      <c r="O103" s="23"/>
      <c r="P103" s="13"/>
      <c r="Q103" s="23"/>
      <c r="R103" s="4"/>
      <c r="S103" s="4"/>
      <c r="T103" s="4"/>
      <c r="U103" s="4"/>
    </row>
    <row r="104" spans="1:21" ht="15.75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18"/>
      <c r="M104" s="21"/>
      <c r="N104" s="21"/>
      <c r="O104" s="23"/>
      <c r="P104" s="13"/>
      <c r="Q104" s="23"/>
      <c r="R104" s="4"/>
      <c r="S104" s="4"/>
      <c r="T104" s="4"/>
      <c r="U104" s="4"/>
    </row>
    <row r="105" spans="1:21" ht="15.75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18"/>
      <c r="M105" s="21"/>
      <c r="N105" s="21"/>
      <c r="O105" s="23"/>
      <c r="P105" s="13"/>
      <c r="Q105" s="23"/>
      <c r="R105" s="4"/>
      <c r="S105" s="4"/>
      <c r="T105" s="4"/>
      <c r="U105" s="4"/>
    </row>
    <row r="106" spans="1:21" ht="15.75" x14ac:dyDescent="0.25">
      <c r="A106" s="4"/>
      <c r="B106" s="4"/>
      <c r="C106" s="4"/>
      <c r="D106" s="4"/>
      <c r="E106" s="4"/>
      <c r="F106" s="4" t="s">
        <v>101</v>
      </c>
      <c r="G106" s="4" t="s">
        <v>103</v>
      </c>
      <c r="H106" s="4"/>
      <c r="I106" s="4"/>
      <c r="J106" s="4"/>
      <c r="K106" s="4"/>
      <c r="L106" s="18">
        <v>305</v>
      </c>
      <c r="M106" s="326" t="s">
        <v>9</v>
      </c>
      <c r="N106" s="21"/>
      <c r="O106" s="23">
        <v>8.31</v>
      </c>
      <c r="P106" s="13"/>
      <c r="Q106" s="23">
        <f>SUM(L106*O106)</f>
        <v>2534.5500000000002</v>
      </c>
      <c r="R106" s="4"/>
      <c r="S106" s="4"/>
      <c r="T106" s="4"/>
      <c r="U106" s="4"/>
    </row>
    <row r="107" spans="1:21" ht="15.75" x14ac:dyDescent="0.25">
      <c r="A107" s="4"/>
      <c r="B107" s="4"/>
      <c r="C107" s="4"/>
      <c r="D107" s="4"/>
      <c r="E107" s="4"/>
      <c r="F107" s="4"/>
      <c r="G107" s="4" t="s">
        <v>107</v>
      </c>
      <c r="H107" s="4"/>
      <c r="I107" s="4"/>
      <c r="J107" s="4"/>
      <c r="K107" s="4"/>
      <c r="L107" s="18"/>
      <c r="M107" s="21"/>
      <c r="N107" s="21"/>
      <c r="O107" s="23"/>
      <c r="P107" s="13"/>
      <c r="Q107" s="23"/>
      <c r="R107" s="4"/>
      <c r="S107" s="4"/>
      <c r="T107" s="4"/>
      <c r="U107" s="4"/>
    </row>
    <row r="108" spans="1:21" ht="15.75" x14ac:dyDescent="0.25">
      <c r="A108" s="4"/>
      <c r="B108" s="4"/>
      <c r="C108" s="4"/>
      <c r="D108" s="4"/>
      <c r="E108" s="4"/>
      <c r="F108" s="4"/>
      <c r="G108" s="4" t="s">
        <v>68</v>
      </c>
      <c r="H108" s="4"/>
      <c r="I108" s="4"/>
      <c r="J108" s="4"/>
      <c r="K108" s="4"/>
      <c r="L108" s="18"/>
      <c r="M108" s="21"/>
      <c r="N108" s="21"/>
      <c r="O108" s="23"/>
      <c r="P108" s="13"/>
      <c r="Q108" s="23"/>
      <c r="R108" s="4"/>
      <c r="S108" s="4"/>
      <c r="T108" s="4"/>
      <c r="U108" s="4"/>
    </row>
    <row r="109" spans="1:21" ht="15.75" x14ac:dyDescent="0.25">
      <c r="A109" s="4"/>
      <c r="B109" s="4"/>
      <c r="C109" s="4"/>
      <c r="D109" s="4"/>
      <c r="E109" s="4"/>
      <c r="F109" s="4"/>
      <c r="G109" s="4" t="s">
        <v>117</v>
      </c>
      <c r="H109" s="4"/>
      <c r="I109" s="4"/>
      <c r="J109" s="4"/>
      <c r="K109" s="4"/>
      <c r="L109" s="18"/>
      <c r="M109" s="21"/>
      <c r="N109" s="21"/>
      <c r="O109" s="23"/>
      <c r="P109" s="13"/>
      <c r="Q109" s="23"/>
      <c r="R109" s="4"/>
      <c r="S109" s="4"/>
      <c r="T109" s="4"/>
      <c r="U109" s="4"/>
    </row>
    <row r="110" spans="1:21" ht="15.75" x14ac:dyDescent="0.25">
      <c r="A110" s="4"/>
      <c r="B110" s="4"/>
      <c r="C110" s="4"/>
      <c r="D110" s="4"/>
      <c r="E110" s="4"/>
      <c r="F110" s="4"/>
      <c r="G110" s="4" t="s">
        <v>60</v>
      </c>
      <c r="H110" s="4"/>
      <c r="I110" s="4"/>
      <c r="J110" s="4"/>
      <c r="K110" s="4"/>
      <c r="L110" s="18"/>
      <c r="M110" s="21"/>
      <c r="N110" s="21"/>
      <c r="O110" s="23"/>
      <c r="P110" s="13"/>
      <c r="Q110" s="23"/>
      <c r="R110" s="4"/>
      <c r="S110" s="4"/>
      <c r="T110" s="4"/>
      <c r="U110" s="4"/>
    </row>
    <row r="111" spans="1:21" ht="15.75" x14ac:dyDescent="0.25">
      <c r="A111" s="4"/>
      <c r="B111" s="4"/>
      <c r="C111" s="4"/>
      <c r="D111" s="4"/>
      <c r="E111" s="4"/>
      <c r="F111" s="4"/>
      <c r="G111" s="4" t="s">
        <v>66</v>
      </c>
      <c r="H111" s="4"/>
      <c r="I111" s="4"/>
      <c r="J111" s="4"/>
      <c r="K111" s="4"/>
      <c r="L111" s="18"/>
      <c r="M111" s="21"/>
      <c r="N111" s="21"/>
      <c r="O111" s="23"/>
      <c r="P111" s="13"/>
      <c r="Q111" s="23"/>
      <c r="R111" s="4"/>
      <c r="S111" s="4"/>
      <c r="T111" s="4"/>
      <c r="U111" s="4"/>
    </row>
    <row r="112" spans="1:21" ht="15.75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18"/>
      <c r="M112" s="21"/>
      <c r="N112" s="21"/>
      <c r="O112" s="23"/>
      <c r="P112" s="13"/>
      <c r="Q112" s="23"/>
      <c r="R112" s="4"/>
      <c r="S112" s="4"/>
      <c r="T112" s="4"/>
      <c r="U112" s="4"/>
    </row>
    <row r="113" spans="1:21" ht="15.75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18"/>
      <c r="M113" s="21"/>
      <c r="N113" s="21"/>
      <c r="O113" s="23"/>
      <c r="P113" s="13"/>
      <c r="Q113" s="23"/>
      <c r="R113" s="4"/>
      <c r="S113" s="4"/>
      <c r="T113" s="4"/>
      <c r="U113" s="4"/>
    </row>
    <row r="114" spans="1:21" ht="15.75" x14ac:dyDescent="0.25">
      <c r="A114" s="4"/>
      <c r="B114" s="4"/>
      <c r="C114" s="4"/>
      <c r="D114" s="4"/>
      <c r="E114" s="4"/>
      <c r="F114" s="4" t="s">
        <v>102</v>
      </c>
      <c r="G114" s="4" t="s">
        <v>103</v>
      </c>
      <c r="H114" s="4"/>
      <c r="I114" s="4"/>
      <c r="J114" s="4"/>
      <c r="K114" s="4"/>
      <c r="L114" s="18">
        <v>308</v>
      </c>
      <c r="M114" s="326" t="s">
        <v>9</v>
      </c>
      <c r="N114" s="21"/>
      <c r="O114" s="23">
        <v>8.31</v>
      </c>
      <c r="P114" s="13"/>
      <c r="Q114" s="23">
        <f>SUM(L114*O114)</f>
        <v>2559.48</v>
      </c>
      <c r="R114" s="4"/>
      <c r="S114" s="4"/>
      <c r="T114" s="4"/>
      <c r="U114" s="4"/>
    </row>
    <row r="115" spans="1:21" ht="15.75" x14ac:dyDescent="0.25">
      <c r="A115" s="4"/>
      <c r="B115" s="4"/>
      <c r="C115" s="4"/>
      <c r="D115" s="4"/>
      <c r="E115" s="4"/>
      <c r="F115" s="4"/>
      <c r="G115" s="4" t="s">
        <v>104</v>
      </c>
      <c r="H115" s="4"/>
      <c r="I115" s="4"/>
      <c r="J115" s="4"/>
      <c r="K115" s="4"/>
      <c r="L115" s="18"/>
      <c r="M115" s="21"/>
      <c r="N115" s="21"/>
      <c r="O115" s="23"/>
      <c r="P115" s="13"/>
      <c r="Q115" s="23"/>
      <c r="R115" s="4"/>
      <c r="S115" s="4"/>
      <c r="T115" s="4"/>
      <c r="U115" s="4"/>
    </row>
    <row r="116" spans="1:21" ht="15.75" x14ac:dyDescent="0.25">
      <c r="A116" s="4"/>
      <c r="B116" s="4"/>
      <c r="C116" s="4"/>
      <c r="D116" s="4"/>
      <c r="E116" s="4"/>
      <c r="F116" s="4"/>
      <c r="G116" s="4" t="s">
        <v>68</v>
      </c>
      <c r="H116" s="4"/>
      <c r="I116" s="4"/>
      <c r="J116" s="4"/>
      <c r="K116" s="4"/>
      <c r="L116" s="18"/>
      <c r="M116" s="21"/>
      <c r="N116" s="21"/>
      <c r="O116" s="23"/>
      <c r="P116" s="13"/>
      <c r="Q116" s="23"/>
      <c r="R116" s="4"/>
      <c r="S116" s="4"/>
      <c r="T116" s="4"/>
      <c r="U116" s="4"/>
    </row>
    <row r="117" spans="1:21" ht="15.75" x14ac:dyDescent="0.25">
      <c r="A117" s="4"/>
      <c r="B117" s="4"/>
      <c r="C117" s="4"/>
      <c r="D117" s="4"/>
      <c r="E117" s="4"/>
      <c r="F117" s="4"/>
      <c r="G117" s="4" t="s">
        <v>119</v>
      </c>
      <c r="H117" s="4"/>
      <c r="I117" s="4"/>
      <c r="J117" s="4"/>
      <c r="K117" s="4"/>
      <c r="L117" s="18"/>
      <c r="M117" s="21"/>
      <c r="N117" s="21"/>
      <c r="O117" s="23"/>
      <c r="P117" s="13"/>
      <c r="Q117" s="23"/>
      <c r="R117" s="4"/>
      <c r="S117" s="4"/>
      <c r="T117" s="4"/>
      <c r="U117" s="4"/>
    </row>
    <row r="118" spans="1:21" ht="15.75" x14ac:dyDescent="0.25">
      <c r="A118" s="4"/>
      <c r="B118" s="4"/>
      <c r="C118" s="4"/>
      <c r="D118" s="4"/>
      <c r="E118" s="4"/>
      <c r="F118" s="4"/>
      <c r="G118" s="4" t="s">
        <v>60</v>
      </c>
      <c r="H118" s="4"/>
      <c r="I118" s="4"/>
      <c r="J118" s="4"/>
      <c r="K118" s="4"/>
      <c r="L118" s="18"/>
      <c r="M118" s="21"/>
      <c r="N118" s="21"/>
      <c r="O118" s="23"/>
      <c r="P118" s="13"/>
      <c r="Q118" s="23"/>
      <c r="R118" s="4"/>
      <c r="S118" s="4"/>
      <c r="T118" s="4"/>
      <c r="U118" s="4"/>
    </row>
    <row r="119" spans="1:21" ht="15.75" x14ac:dyDescent="0.25">
      <c r="A119" s="4"/>
      <c r="B119" s="4"/>
      <c r="C119" s="4"/>
      <c r="D119" s="4"/>
      <c r="E119" s="4"/>
      <c r="F119" s="4"/>
      <c r="G119" s="4" t="s">
        <v>66</v>
      </c>
      <c r="H119" s="4"/>
      <c r="I119" s="4"/>
      <c r="J119" s="4"/>
      <c r="K119" s="4"/>
      <c r="L119" s="18"/>
      <c r="M119" s="21"/>
      <c r="N119" s="21"/>
      <c r="O119" s="23"/>
      <c r="P119" s="13"/>
      <c r="Q119" s="23"/>
      <c r="R119" s="4"/>
      <c r="S119" s="4"/>
      <c r="T119" s="4"/>
      <c r="U119" s="4"/>
    </row>
    <row r="120" spans="1:21" ht="15.75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18"/>
      <c r="M120" s="21"/>
      <c r="N120" s="21"/>
      <c r="O120" s="23"/>
      <c r="P120" s="13"/>
      <c r="Q120" s="23"/>
      <c r="R120" s="4"/>
      <c r="S120" s="4"/>
      <c r="T120" s="4"/>
      <c r="U120" s="4"/>
    </row>
    <row r="121" spans="1:21" ht="15.75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18"/>
      <c r="M121" s="21"/>
      <c r="N121" s="21"/>
      <c r="O121" s="23"/>
      <c r="P121" s="13"/>
      <c r="Q121" s="23"/>
      <c r="R121" s="4"/>
      <c r="S121" s="4"/>
      <c r="T121" s="4"/>
      <c r="U121" s="4"/>
    </row>
    <row r="122" spans="1:21" ht="15.75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22"/>
      <c r="M122" s="22"/>
      <c r="N122" s="22"/>
      <c r="O122" s="22"/>
      <c r="P122" s="22"/>
      <c r="Q122" s="22"/>
      <c r="R122" s="4"/>
      <c r="S122" s="4"/>
      <c r="T122" s="4"/>
      <c r="U122" s="4"/>
    </row>
    <row r="123" spans="1:21" ht="15.75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14">
        <v>6387</v>
      </c>
      <c r="M123" s="21" t="s">
        <v>9</v>
      </c>
      <c r="N123" s="9"/>
      <c r="O123" s="9"/>
      <c r="P123" s="9"/>
      <c r="Q123" s="25">
        <v>52673.66</v>
      </c>
      <c r="R123" s="4"/>
      <c r="S123" s="4"/>
      <c r="T123" s="4"/>
      <c r="U123" s="4"/>
    </row>
    <row r="124" spans="1:21" ht="15.75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24" t="s">
        <v>69</v>
      </c>
      <c r="M124" s="4" t="s">
        <v>70</v>
      </c>
      <c r="N124" s="9"/>
      <c r="O124" s="9"/>
      <c r="P124" s="24" t="s">
        <v>70</v>
      </c>
      <c r="Q124" s="24" t="s">
        <v>71</v>
      </c>
      <c r="R124" s="4"/>
      <c r="S124" s="4"/>
      <c r="T124" s="4"/>
      <c r="U124" s="4"/>
    </row>
    <row r="125" spans="1:21" ht="15.75" x14ac:dyDescent="0.25">
      <c r="A125" s="4"/>
      <c r="B125" s="9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ht="16.5" x14ac:dyDescent="0.25">
      <c r="A126" s="4"/>
      <c r="B126"/>
      <c r="C126" t="s">
        <v>128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ht="15.75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ht="15.75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9"/>
      <c r="O128" s="4" t="s">
        <v>1</v>
      </c>
      <c r="P128" s="9"/>
      <c r="Q128" s="9"/>
      <c r="R128" s="9"/>
      <c r="S128" s="9"/>
      <c r="T128" s="9"/>
      <c r="U128" s="9"/>
    </row>
    <row r="129" spans="1:21" ht="16.5" thickBo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9"/>
      <c r="O129" s="17"/>
      <c r="P129" s="17"/>
      <c r="Q129" s="17"/>
      <c r="R129" s="17"/>
      <c r="S129" s="17"/>
      <c r="T129" s="17"/>
      <c r="U129" s="17"/>
    </row>
    <row r="130" spans="1:21" ht="15.75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</sheetData>
  <mergeCells count="25">
    <mergeCell ref="A11:C11"/>
    <mergeCell ref="D11:I11"/>
    <mergeCell ref="K11:Q11"/>
    <mergeCell ref="A1:Q1"/>
    <mergeCell ref="A2:Q2"/>
    <mergeCell ref="A3:I3"/>
    <mergeCell ref="J3:Q3"/>
    <mergeCell ref="A4:Q4"/>
    <mergeCell ref="B6:G6"/>
    <mergeCell ref="L6:N6"/>
    <mergeCell ref="O6:Q6"/>
    <mergeCell ref="A7:D7"/>
    <mergeCell ref="E7:Q7"/>
    <mergeCell ref="A8:F8"/>
    <mergeCell ref="G8:Q8"/>
    <mergeCell ref="A9:Q10"/>
    <mergeCell ref="A12:D12"/>
    <mergeCell ref="E12:G12"/>
    <mergeCell ref="I12:K12"/>
    <mergeCell ref="N12:Q12"/>
    <mergeCell ref="A14:D14"/>
    <mergeCell ref="E14:J14"/>
    <mergeCell ref="K14:L14"/>
    <mergeCell ref="N14:O14"/>
    <mergeCell ref="P14:Q14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scale="50" fitToHeight="0" orientation="portrait" r:id="rId1"/>
  <headerFooter alignWithMargins="0">
    <oddFooter>&amp;C&amp;"Times New Roman,標準"PAGE&amp;"新細明體,標準":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30"/>
  <sheetViews>
    <sheetView topLeftCell="A97" zoomScaleNormal="100" workbookViewId="0">
      <selection activeCell="W124" sqref="W124"/>
    </sheetView>
  </sheetViews>
  <sheetFormatPr defaultRowHeight="14.25" x14ac:dyDescent="0.25"/>
  <cols>
    <col min="1" max="2" width="4.125" style="1" customWidth="1"/>
    <col min="3" max="3" width="6.75" style="1" customWidth="1"/>
    <col min="4" max="5" width="4.125" style="1" customWidth="1"/>
    <col min="6" max="6" width="5.625" style="1" customWidth="1"/>
    <col min="7" max="7" width="20.25" style="1" customWidth="1"/>
    <col min="8" max="8" width="10.125" style="1" customWidth="1"/>
    <col min="9" max="9" width="20.5" style="1" customWidth="1"/>
    <col min="10" max="10" width="5.625" style="1" customWidth="1"/>
    <col min="11" max="11" width="11.625" style="1" customWidth="1"/>
    <col min="12" max="12" width="17" style="1" customWidth="1"/>
    <col min="13" max="13" width="10.5" style="1" customWidth="1"/>
    <col min="14" max="14" width="4.125" style="1" customWidth="1"/>
    <col min="15" max="15" width="8.625" style="1" customWidth="1"/>
    <col min="16" max="16" width="4.125" style="1" customWidth="1"/>
    <col min="17" max="17" width="19.625" style="1" customWidth="1"/>
    <col min="18" max="16384" width="9" style="1"/>
  </cols>
  <sheetData>
    <row r="1" spans="1:22" s="2" customFormat="1" ht="19.5" x14ac:dyDescent="0.25">
      <c r="A1" s="79" t="s">
        <v>52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4"/>
      <c r="S1" s="4"/>
      <c r="T1" s="4"/>
      <c r="U1" s="4"/>
    </row>
    <row r="2" spans="1:22" s="3" customFormat="1" ht="34.5" customHeight="1" x14ac:dyDescent="0.25">
      <c r="A2" s="80" t="s">
        <v>28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</row>
    <row r="3" spans="1:22" s="3" customFormat="1" ht="15" x14ac:dyDescent="0.25">
      <c r="A3" s="81" t="s">
        <v>2</v>
      </c>
      <c r="B3" s="81"/>
      <c r="C3" s="81"/>
      <c r="D3" s="81"/>
      <c r="E3" s="81"/>
      <c r="F3" s="81"/>
      <c r="G3" s="81"/>
      <c r="H3" s="81"/>
      <c r="I3" s="81"/>
      <c r="J3" s="82" t="s">
        <v>3</v>
      </c>
      <c r="K3" s="82"/>
      <c r="L3" s="82"/>
      <c r="M3" s="82"/>
      <c r="N3" s="82"/>
      <c r="O3" s="82"/>
      <c r="P3" s="82"/>
      <c r="Q3" s="82"/>
    </row>
    <row r="4" spans="1:22" s="2" customFormat="1" ht="19.5" x14ac:dyDescent="0.25">
      <c r="A4" s="83" t="s">
        <v>51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4"/>
      <c r="S4" s="4"/>
      <c r="T4" s="4"/>
      <c r="U4" s="4"/>
      <c r="V4" s="1"/>
    </row>
    <row r="5" spans="1:22" ht="15.75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4"/>
      <c r="S5" s="4"/>
      <c r="T5" s="4"/>
      <c r="U5" s="4"/>
    </row>
    <row r="6" spans="1:22" ht="16.5" customHeight="1" x14ac:dyDescent="0.25">
      <c r="A6" s="3" t="s">
        <v>29</v>
      </c>
      <c r="B6" s="84" t="s">
        <v>84</v>
      </c>
      <c r="C6" s="85"/>
      <c r="D6" s="85"/>
      <c r="E6" s="85"/>
      <c r="F6" s="85"/>
      <c r="G6" s="86"/>
      <c r="H6" s="4"/>
      <c r="I6" s="4"/>
      <c r="J6" s="4"/>
      <c r="K6" s="4"/>
      <c r="L6" s="87" t="s">
        <v>30</v>
      </c>
      <c r="M6" s="87"/>
      <c r="N6" s="88"/>
      <c r="O6" s="75" t="s">
        <v>83</v>
      </c>
      <c r="P6" s="75"/>
      <c r="Q6" s="66"/>
      <c r="R6" s="4"/>
      <c r="S6" s="4"/>
      <c r="T6" s="4"/>
      <c r="U6" s="4"/>
    </row>
    <row r="7" spans="1:22" ht="15.75" x14ac:dyDescent="0.25">
      <c r="A7" s="74" t="s">
        <v>77</v>
      </c>
      <c r="B7" s="47"/>
      <c r="C7" s="47"/>
      <c r="D7" s="48"/>
      <c r="E7" s="66" t="s">
        <v>25</v>
      </c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4"/>
      <c r="S7" s="4"/>
      <c r="T7" s="4"/>
      <c r="U7" s="4"/>
    </row>
    <row r="8" spans="1:22" ht="15" customHeight="1" x14ac:dyDescent="0.25">
      <c r="A8" s="47" t="s">
        <v>31</v>
      </c>
      <c r="B8" s="47"/>
      <c r="C8" s="47"/>
      <c r="D8" s="47"/>
      <c r="E8" s="47"/>
      <c r="F8" s="47"/>
      <c r="G8" s="75" t="s">
        <v>4</v>
      </c>
      <c r="H8" s="75"/>
      <c r="I8" s="66"/>
      <c r="J8" s="66"/>
      <c r="K8" s="66"/>
      <c r="L8" s="66"/>
      <c r="M8" s="66"/>
      <c r="N8" s="66"/>
      <c r="O8" s="66"/>
      <c r="P8" s="66"/>
      <c r="Q8" s="66"/>
      <c r="R8" s="4"/>
      <c r="S8" s="4"/>
      <c r="T8" s="4"/>
      <c r="U8" s="4"/>
    </row>
    <row r="9" spans="1:22" ht="15" customHeight="1" x14ac:dyDescent="0.25">
      <c r="A9" s="76" t="s">
        <v>5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4"/>
      <c r="S9" s="4"/>
      <c r="T9" s="4"/>
      <c r="U9" s="4"/>
    </row>
    <row r="10" spans="1:22" ht="8.25" customHeight="1" x14ac:dyDescent="0.25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4"/>
      <c r="S10" s="4"/>
      <c r="T10" s="4"/>
      <c r="U10" s="4"/>
    </row>
    <row r="11" spans="1:22" ht="15.75" customHeight="1" x14ac:dyDescent="0.25">
      <c r="A11" s="47" t="s">
        <v>32</v>
      </c>
      <c r="B11" s="47"/>
      <c r="C11" s="47"/>
      <c r="D11" s="78" t="s">
        <v>1</v>
      </c>
      <c r="E11" s="78"/>
      <c r="F11" s="78"/>
      <c r="G11" s="78"/>
      <c r="H11" s="78"/>
      <c r="I11" s="64"/>
      <c r="J11" s="27" t="s">
        <v>33</v>
      </c>
      <c r="K11" s="78" t="s">
        <v>56</v>
      </c>
      <c r="L11" s="64"/>
      <c r="M11" s="64"/>
      <c r="N11" s="64"/>
      <c r="O11" s="64"/>
      <c r="P11" s="64"/>
      <c r="Q11" s="64"/>
      <c r="R11" s="4"/>
      <c r="S11" s="4"/>
      <c r="T11" s="4"/>
      <c r="U11" s="4"/>
    </row>
    <row r="12" spans="1:22" ht="15.75" customHeight="1" x14ac:dyDescent="0.25">
      <c r="A12" s="47" t="s">
        <v>34</v>
      </c>
      <c r="B12" s="47"/>
      <c r="C12" s="47"/>
      <c r="D12" s="48"/>
      <c r="E12" s="64"/>
      <c r="F12" s="64"/>
      <c r="G12" s="64"/>
      <c r="H12" s="8" t="s">
        <v>35</v>
      </c>
      <c r="I12" s="65" t="s">
        <v>57</v>
      </c>
      <c r="J12" s="66"/>
      <c r="K12" s="66"/>
      <c r="L12" s="6" t="s">
        <v>36</v>
      </c>
      <c r="M12" s="6"/>
      <c r="N12" s="64" t="s">
        <v>59</v>
      </c>
      <c r="O12" s="64"/>
      <c r="P12" s="64"/>
      <c r="Q12" s="64"/>
      <c r="R12" s="4"/>
      <c r="S12" s="4"/>
      <c r="T12" s="4"/>
      <c r="U12" s="4"/>
    </row>
    <row r="13" spans="1:22" ht="15.75" customHeight="1" thickBo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2" ht="14.25" customHeight="1" thickTop="1" x14ac:dyDescent="0.25">
      <c r="A14" s="67" t="s">
        <v>37</v>
      </c>
      <c r="B14" s="68"/>
      <c r="C14" s="68"/>
      <c r="D14" s="69"/>
      <c r="E14" s="70" t="s">
        <v>38</v>
      </c>
      <c r="F14" s="68"/>
      <c r="G14" s="68"/>
      <c r="H14" s="68"/>
      <c r="I14" s="68"/>
      <c r="J14" s="68"/>
      <c r="K14" s="70" t="s">
        <v>39</v>
      </c>
      <c r="L14" s="71"/>
      <c r="M14" s="16"/>
      <c r="N14" s="72" t="s">
        <v>40</v>
      </c>
      <c r="O14" s="73"/>
      <c r="P14" s="70" t="s">
        <v>0</v>
      </c>
      <c r="Q14" s="72"/>
      <c r="R14" s="4"/>
      <c r="S14" s="4"/>
      <c r="T14" s="4"/>
      <c r="U14" s="4"/>
    </row>
    <row r="15" spans="1:22" ht="15.75" customHeight="1" x14ac:dyDescent="0.25">
      <c r="A15" s="4"/>
      <c r="B15" s="26"/>
      <c r="C15" s="26"/>
      <c r="D15" s="26"/>
      <c r="E15" s="26"/>
      <c r="F15" s="26"/>
      <c r="G15" s="26"/>
      <c r="H15" s="26"/>
      <c r="I15" s="26"/>
      <c r="J15" s="26"/>
      <c r="K15" s="19"/>
      <c r="L15" s="19"/>
      <c r="M15" s="19"/>
      <c r="N15" s="19"/>
      <c r="O15" s="11" t="s">
        <v>6</v>
      </c>
      <c r="P15" s="19"/>
      <c r="Q15" s="19"/>
      <c r="R15" s="4"/>
      <c r="S15" s="4"/>
      <c r="T15" s="4"/>
      <c r="U15" s="4"/>
    </row>
    <row r="16" spans="1:22" ht="15.75" x14ac:dyDescent="0.25">
      <c r="A16" s="4" t="s">
        <v>41</v>
      </c>
      <c r="B16" s="4"/>
      <c r="C16" s="4"/>
      <c r="D16" s="4"/>
      <c r="E16" s="4"/>
      <c r="F16" s="4" t="s">
        <v>7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15.75" x14ac:dyDescent="0.25">
      <c r="A17" s="4" t="s">
        <v>42</v>
      </c>
      <c r="B17" s="4"/>
      <c r="C17" s="4"/>
      <c r="D17" s="4"/>
      <c r="E17" s="4"/>
      <c r="F17" s="4" t="s">
        <v>8</v>
      </c>
      <c r="G17" s="4"/>
      <c r="H17" s="4"/>
      <c r="I17" s="4"/>
      <c r="J17" s="4"/>
      <c r="K17" s="4"/>
      <c r="L17" s="21"/>
      <c r="M17" s="21"/>
      <c r="N17" s="21"/>
      <c r="O17" s="21"/>
      <c r="P17" s="21"/>
      <c r="Q17" s="21"/>
      <c r="R17" s="4"/>
      <c r="S17" s="4"/>
      <c r="T17" s="4"/>
      <c r="U17" s="4"/>
    </row>
    <row r="18" spans="1:21" ht="15.75" x14ac:dyDescent="0.25">
      <c r="A18" s="4" t="s">
        <v>43</v>
      </c>
      <c r="B18" s="4"/>
      <c r="C18" s="4"/>
      <c r="D18" s="4"/>
      <c r="E18" s="24"/>
      <c r="F18" s="4" t="s">
        <v>61</v>
      </c>
      <c r="G18" s="4" t="s">
        <v>78</v>
      </c>
      <c r="H18" s="4"/>
      <c r="I18" s="4"/>
      <c r="J18" s="4"/>
      <c r="K18" s="4"/>
      <c r="L18" s="18">
        <v>2433</v>
      </c>
      <c r="M18" s="21" t="s">
        <v>9</v>
      </c>
      <c r="N18" s="21"/>
      <c r="O18" s="23">
        <v>14.44</v>
      </c>
      <c r="P18" s="13"/>
      <c r="Q18" s="23">
        <f>SUM(L18*O18)</f>
        <v>35132.519999999997</v>
      </c>
      <c r="R18" s="4"/>
      <c r="S18" s="4"/>
      <c r="T18" s="4"/>
      <c r="U18" s="4"/>
    </row>
    <row r="19" spans="1:21" ht="15.75" x14ac:dyDescent="0.25">
      <c r="A19" s="4" t="s">
        <v>44</v>
      </c>
      <c r="B19" s="4"/>
      <c r="C19" s="4"/>
      <c r="D19" s="4"/>
      <c r="E19" s="10"/>
      <c r="F19" s="4"/>
      <c r="G19" s="4" t="s">
        <v>72</v>
      </c>
      <c r="H19" s="4"/>
      <c r="I19" s="4"/>
      <c r="J19" s="4"/>
      <c r="K19" s="4"/>
      <c r="L19" s="18"/>
      <c r="M19" s="21"/>
      <c r="N19" s="21"/>
      <c r="O19" s="23"/>
      <c r="P19" s="13"/>
      <c r="Q19" s="23"/>
      <c r="R19" s="4"/>
      <c r="S19" s="4"/>
      <c r="T19" s="4"/>
      <c r="U19" s="4"/>
    </row>
    <row r="20" spans="1:21" ht="14.25" customHeight="1" x14ac:dyDescent="0.25">
      <c r="A20" s="4"/>
      <c r="B20" s="4"/>
      <c r="C20" s="4"/>
      <c r="D20" s="4"/>
      <c r="E20" s="10"/>
      <c r="F20" s="4"/>
      <c r="G20" s="4" t="s">
        <v>73</v>
      </c>
      <c r="H20" s="9"/>
      <c r="I20" s="4"/>
      <c r="J20" s="4"/>
      <c r="K20" s="4"/>
      <c r="L20" s="18"/>
      <c r="M20" s="21"/>
      <c r="N20" s="21"/>
      <c r="O20" s="23"/>
      <c r="P20" s="13"/>
      <c r="Q20" s="23"/>
      <c r="R20" s="4"/>
      <c r="S20" s="4"/>
      <c r="T20" s="4"/>
      <c r="U20" s="4"/>
    </row>
    <row r="21" spans="1:21" ht="14.25" customHeight="1" x14ac:dyDescent="0.25">
      <c r="A21" s="4" t="s">
        <v>45</v>
      </c>
      <c r="B21" s="4"/>
      <c r="C21" s="4"/>
      <c r="D21" s="4"/>
      <c r="E21" s="4"/>
      <c r="F21" s="4"/>
      <c r="G21" s="4" t="s">
        <v>75</v>
      </c>
      <c r="H21" s="9"/>
      <c r="I21" s="4"/>
      <c r="J21" s="4"/>
      <c r="K21" s="4"/>
      <c r="L21" s="18"/>
      <c r="M21" s="21"/>
      <c r="N21" s="21"/>
      <c r="O21" s="23"/>
      <c r="P21" s="13"/>
      <c r="Q21" s="23"/>
      <c r="R21" s="4"/>
      <c r="S21" s="4"/>
      <c r="T21" s="4"/>
      <c r="U21" s="4"/>
    </row>
    <row r="22" spans="1:21" ht="14.25" customHeight="1" x14ac:dyDescent="0.25">
      <c r="A22" s="4" t="s">
        <v>46</v>
      </c>
      <c r="B22" s="4"/>
      <c r="C22" s="4"/>
      <c r="D22" s="4"/>
      <c r="E22" s="4"/>
      <c r="F22" s="4"/>
      <c r="G22" s="4" t="s">
        <v>74</v>
      </c>
      <c r="H22" s="9"/>
      <c r="I22" s="4"/>
      <c r="J22" s="4"/>
      <c r="K22" s="4"/>
      <c r="L22" s="18"/>
      <c r="M22" s="21"/>
      <c r="N22" s="21"/>
      <c r="O22" s="23"/>
      <c r="P22" s="13"/>
      <c r="Q22" s="23"/>
      <c r="R22" s="4"/>
      <c r="S22" s="4"/>
      <c r="T22" s="4"/>
      <c r="U22" s="4"/>
    </row>
    <row r="23" spans="1:21" ht="15.75" x14ac:dyDescent="0.25">
      <c r="A23" s="4" t="s">
        <v>47</v>
      </c>
      <c r="B23" s="4"/>
      <c r="C23" s="4"/>
      <c r="D23" s="4"/>
      <c r="E23" s="11"/>
      <c r="F23" s="4"/>
      <c r="G23" s="4" t="s">
        <v>85</v>
      </c>
      <c r="H23" s="89">
        <v>1217</v>
      </c>
      <c r="I23" s="4"/>
      <c r="J23" s="4"/>
      <c r="K23" s="4"/>
      <c r="L23" s="18"/>
      <c r="M23" s="21"/>
      <c r="N23" s="21"/>
      <c r="O23" s="23"/>
      <c r="P23" s="13"/>
      <c r="Q23" s="23"/>
      <c r="R23" s="4"/>
      <c r="S23" s="4"/>
      <c r="T23" s="4"/>
      <c r="U23" s="4"/>
    </row>
    <row r="24" spans="1:21" ht="15.75" x14ac:dyDescent="0.25">
      <c r="A24" s="4" t="s">
        <v>48</v>
      </c>
      <c r="B24" s="4"/>
      <c r="C24" s="4"/>
      <c r="D24" s="4"/>
      <c r="E24" s="4"/>
      <c r="F24" s="4"/>
      <c r="G24" s="4" t="s">
        <v>86</v>
      </c>
      <c r="H24" s="89">
        <v>1216</v>
      </c>
      <c r="I24" s="4"/>
      <c r="J24" s="4"/>
      <c r="K24" s="4"/>
      <c r="L24" s="18"/>
      <c r="M24" s="21"/>
      <c r="N24" s="21"/>
      <c r="O24" s="23"/>
      <c r="P24" s="13"/>
      <c r="Q24" s="23"/>
      <c r="R24" s="4"/>
      <c r="S24" s="4"/>
      <c r="T24" s="4"/>
      <c r="U24" s="4"/>
    </row>
    <row r="25" spans="1:21" ht="15.75" x14ac:dyDescent="0.25">
      <c r="A25" s="4"/>
      <c r="B25" s="4"/>
      <c r="C25" s="4"/>
      <c r="D25" s="4"/>
      <c r="E25" s="4"/>
      <c r="F25" s="4"/>
      <c r="G25" s="4"/>
      <c r="I25" s="4"/>
      <c r="J25" s="4"/>
      <c r="K25" s="4"/>
      <c r="L25" s="18"/>
      <c r="M25" s="21"/>
      <c r="N25" s="21"/>
      <c r="O25" s="23"/>
      <c r="P25" s="13"/>
      <c r="Q25" s="23"/>
      <c r="R25" s="4"/>
      <c r="S25" s="4"/>
      <c r="T25" s="4"/>
      <c r="U25" s="4"/>
    </row>
    <row r="26" spans="1:21" ht="15.75" x14ac:dyDescent="0.25">
      <c r="A26" s="4" t="s">
        <v>49</v>
      </c>
      <c r="B26" s="4"/>
      <c r="C26" s="4"/>
      <c r="D26" s="4"/>
      <c r="E26" s="4"/>
      <c r="F26" s="4" t="s">
        <v>62</v>
      </c>
      <c r="G26" s="4" t="s">
        <v>87</v>
      </c>
      <c r="H26" s="4"/>
      <c r="I26" s="4"/>
      <c r="J26" s="4"/>
      <c r="K26" s="4"/>
      <c r="L26" s="18">
        <v>305</v>
      </c>
      <c r="M26" s="21" t="s">
        <v>9</v>
      </c>
      <c r="N26" s="21"/>
      <c r="O26" s="23">
        <v>9.56</v>
      </c>
      <c r="P26" s="13"/>
      <c r="Q26" s="23">
        <f>SUM(L26*O26)</f>
        <v>2915.8</v>
      </c>
      <c r="R26" s="4"/>
      <c r="S26" s="4"/>
      <c r="T26" s="4"/>
      <c r="U26" s="4"/>
    </row>
    <row r="27" spans="1:21" ht="15.75" x14ac:dyDescent="0.25">
      <c r="A27" s="4" t="s">
        <v>50</v>
      </c>
      <c r="B27" s="4"/>
      <c r="C27" s="4"/>
      <c r="D27" s="4"/>
      <c r="E27" s="4"/>
      <c r="F27" s="4"/>
      <c r="G27" s="4" t="s">
        <v>88</v>
      </c>
      <c r="H27" s="4"/>
      <c r="I27" s="4"/>
      <c r="J27" s="4"/>
      <c r="K27" s="4"/>
      <c r="L27" s="18"/>
      <c r="M27" s="21"/>
      <c r="N27" s="21"/>
      <c r="O27" s="23"/>
      <c r="P27" s="13"/>
      <c r="Q27" s="23"/>
      <c r="R27" s="4"/>
      <c r="S27" s="4"/>
      <c r="T27" s="4"/>
      <c r="U27" s="4"/>
    </row>
    <row r="28" spans="1:21" ht="15.75" x14ac:dyDescent="0.25">
      <c r="A28" s="4"/>
      <c r="B28" s="4"/>
      <c r="C28" s="4"/>
      <c r="D28" s="4"/>
      <c r="E28" s="4"/>
      <c r="F28" s="4"/>
      <c r="G28" s="4" t="s">
        <v>110</v>
      </c>
      <c r="I28" s="9"/>
      <c r="J28" s="9"/>
      <c r="K28" s="4"/>
      <c r="L28" s="18"/>
      <c r="M28" s="21"/>
      <c r="N28" s="21"/>
      <c r="O28" s="23"/>
      <c r="P28" s="13"/>
      <c r="Q28" s="23"/>
      <c r="R28" s="4"/>
      <c r="S28" s="4"/>
      <c r="T28" s="4"/>
      <c r="U28" s="4"/>
    </row>
    <row r="29" spans="1:21" ht="15.75" x14ac:dyDescent="0.25">
      <c r="A29" s="4"/>
      <c r="B29" s="4"/>
      <c r="C29" s="4"/>
      <c r="D29" s="4"/>
      <c r="E29" s="4"/>
      <c r="F29" s="4"/>
      <c r="G29" s="4" t="s">
        <v>111</v>
      </c>
      <c r="H29" s="9"/>
      <c r="I29" s="4"/>
      <c r="J29" s="9"/>
      <c r="K29" s="4"/>
      <c r="L29" s="18"/>
      <c r="M29" s="21"/>
      <c r="N29" s="4"/>
      <c r="O29" s="23"/>
      <c r="P29" s="13"/>
      <c r="Q29" s="23"/>
      <c r="R29" s="4"/>
      <c r="S29" s="4"/>
      <c r="T29" s="4"/>
      <c r="U29" s="4"/>
    </row>
    <row r="30" spans="1:21" ht="15.75" x14ac:dyDescent="0.25">
      <c r="A30" s="4"/>
      <c r="B30" s="4"/>
      <c r="C30" s="4"/>
      <c r="D30" s="4"/>
      <c r="E30" s="4"/>
      <c r="F30" s="4"/>
      <c r="G30" s="4" t="s">
        <v>112</v>
      </c>
      <c r="H30" s="9"/>
      <c r="I30" s="4"/>
      <c r="J30" s="9"/>
      <c r="K30" s="4"/>
      <c r="L30" s="18"/>
      <c r="M30" s="21"/>
      <c r="N30" s="4"/>
      <c r="O30" s="23"/>
      <c r="P30" s="13"/>
      <c r="Q30" s="23"/>
      <c r="R30" s="4"/>
      <c r="S30" s="4"/>
      <c r="T30" s="4"/>
      <c r="U30" s="4"/>
    </row>
    <row r="31" spans="1:21" ht="15.75" x14ac:dyDescent="0.25">
      <c r="A31" s="4"/>
      <c r="B31" s="4"/>
      <c r="C31" s="4"/>
      <c r="D31" s="4"/>
      <c r="E31" s="4"/>
      <c r="F31" s="4"/>
      <c r="G31" s="4" t="s">
        <v>89</v>
      </c>
      <c r="H31" s="4"/>
      <c r="I31" s="4"/>
      <c r="J31" s="4"/>
      <c r="K31" s="4"/>
      <c r="L31" s="18"/>
      <c r="M31" s="21"/>
      <c r="N31" s="21"/>
      <c r="O31" s="23"/>
      <c r="P31" s="13"/>
      <c r="Q31" s="23"/>
      <c r="R31" s="4"/>
      <c r="S31" s="4"/>
      <c r="T31" s="4"/>
      <c r="U31" s="4"/>
    </row>
    <row r="32" spans="1:21" ht="15.75" x14ac:dyDescent="0.25">
      <c r="A32" s="4"/>
      <c r="B32" s="4"/>
      <c r="C32" s="4"/>
      <c r="D32" s="4"/>
      <c r="E32" s="4"/>
      <c r="F32" s="4"/>
      <c r="G32" s="4"/>
      <c r="H32" s="12"/>
      <c r="I32" s="4"/>
      <c r="J32" s="4"/>
      <c r="K32" s="4"/>
      <c r="L32" s="18"/>
      <c r="M32" s="21"/>
      <c r="N32" s="21"/>
      <c r="O32" s="23"/>
      <c r="P32" s="13"/>
      <c r="Q32" s="23"/>
      <c r="R32" s="4"/>
      <c r="S32" s="4"/>
      <c r="T32" s="4"/>
      <c r="U32" s="4"/>
    </row>
    <row r="33" spans="1:21" ht="15.7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18"/>
      <c r="M33" s="21"/>
      <c r="N33" s="21"/>
      <c r="O33" s="23"/>
      <c r="P33" s="13"/>
      <c r="Q33" s="23"/>
      <c r="R33" s="4"/>
      <c r="S33" s="4"/>
      <c r="T33" s="4"/>
      <c r="U33" s="4"/>
    </row>
    <row r="34" spans="1:21" ht="15.75" x14ac:dyDescent="0.25">
      <c r="A34" s="4"/>
      <c r="B34" s="4"/>
      <c r="C34" s="4"/>
      <c r="D34" s="4"/>
      <c r="E34" s="4"/>
      <c r="F34" s="4" t="s">
        <v>63</v>
      </c>
      <c r="G34" s="4" t="s">
        <v>87</v>
      </c>
      <c r="H34" s="4"/>
      <c r="I34" s="4"/>
      <c r="J34" s="4"/>
      <c r="K34" s="4"/>
      <c r="L34" s="18">
        <v>58</v>
      </c>
      <c r="M34" s="21" t="s">
        <v>9</v>
      </c>
      <c r="N34" s="21"/>
      <c r="O34" s="23">
        <v>10.199999999999999</v>
      </c>
      <c r="P34" s="13"/>
      <c r="Q34" s="23">
        <f>SUM(L34*O34)</f>
        <v>591.59999999999991</v>
      </c>
      <c r="R34" s="4"/>
      <c r="S34" s="4"/>
      <c r="T34" s="4"/>
      <c r="U34" s="4"/>
    </row>
    <row r="35" spans="1:21" ht="15.75" x14ac:dyDescent="0.25">
      <c r="A35" s="4"/>
      <c r="B35" s="4"/>
      <c r="C35" s="4"/>
      <c r="D35" s="4"/>
      <c r="E35" s="4"/>
      <c r="F35" s="4"/>
      <c r="G35" s="4" t="s">
        <v>90</v>
      </c>
      <c r="H35" s="4"/>
      <c r="I35" s="4"/>
      <c r="J35" s="4"/>
      <c r="K35" s="4"/>
      <c r="L35" s="18"/>
      <c r="M35" s="21"/>
      <c r="N35" s="21"/>
      <c r="O35" s="23"/>
      <c r="P35" s="13"/>
      <c r="Q35" s="23"/>
      <c r="R35" s="4"/>
      <c r="S35" s="4"/>
      <c r="T35" s="4"/>
      <c r="U35" s="4"/>
    </row>
    <row r="36" spans="1:21" ht="15.75" x14ac:dyDescent="0.25">
      <c r="A36" s="4"/>
      <c r="B36" s="4"/>
      <c r="C36" s="4"/>
      <c r="D36" s="4"/>
      <c r="E36" s="4"/>
      <c r="F36" s="4"/>
      <c r="G36" s="4" t="s">
        <v>113</v>
      </c>
      <c r="H36" s="4"/>
      <c r="K36" s="4"/>
      <c r="L36" s="18"/>
      <c r="M36" s="21"/>
      <c r="N36" s="21"/>
      <c r="O36" s="23"/>
      <c r="P36" s="13"/>
      <c r="Q36" s="23"/>
      <c r="R36" s="4"/>
      <c r="S36" s="4"/>
      <c r="T36" s="4"/>
      <c r="U36" s="4"/>
    </row>
    <row r="37" spans="1:21" ht="19.5" customHeight="1" x14ac:dyDescent="0.25">
      <c r="A37" s="4"/>
      <c r="B37" s="4"/>
      <c r="C37" s="4"/>
      <c r="D37" s="4"/>
      <c r="E37" s="4"/>
      <c r="F37" s="4"/>
      <c r="G37" s="4" t="s">
        <v>114</v>
      </c>
      <c r="H37" s="4"/>
      <c r="K37" s="4"/>
      <c r="L37" s="18"/>
      <c r="M37" s="21"/>
      <c r="N37" s="21"/>
      <c r="O37" s="23"/>
      <c r="P37" s="13"/>
      <c r="Q37" s="23"/>
      <c r="R37" s="4"/>
      <c r="S37" s="4"/>
      <c r="T37" s="4"/>
      <c r="U37" s="4"/>
    </row>
    <row r="38" spans="1:21" ht="15.75" x14ac:dyDescent="0.25">
      <c r="A38" s="4"/>
      <c r="B38" s="4"/>
      <c r="C38" s="4"/>
      <c r="D38" s="4"/>
      <c r="E38" s="4"/>
      <c r="F38" s="4"/>
      <c r="G38" s="4" t="s">
        <v>60</v>
      </c>
      <c r="H38" s="9"/>
      <c r="I38" s="4"/>
      <c r="J38" s="9"/>
      <c r="K38" s="4"/>
      <c r="L38" s="18"/>
      <c r="M38" s="21"/>
      <c r="N38" s="21"/>
      <c r="O38" s="23"/>
      <c r="P38" s="13"/>
      <c r="Q38" s="23"/>
      <c r="R38" s="4"/>
      <c r="S38" s="4"/>
      <c r="T38" s="4"/>
      <c r="U38" s="4"/>
    </row>
    <row r="39" spans="1:21" ht="15.75" x14ac:dyDescent="0.25">
      <c r="A39" s="4"/>
      <c r="B39" s="4"/>
      <c r="C39" s="4"/>
      <c r="D39" s="4"/>
      <c r="E39" s="4"/>
      <c r="F39" s="4"/>
      <c r="G39" s="4" t="s">
        <v>89</v>
      </c>
      <c r="H39" s="12"/>
      <c r="I39" s="4"/>
      <c r="J39" s="4"/>
      <c r="K39" s="4"/>
      <c r="L39" s="18"/>
      <c r="M39" s="21"/>
      <c r="N39" s="21"/>
      <c r="O39" s="23"/>
      <c r="P39" s="13"/>
      <c r="Q39" s="23"/>
      <c r="R39" s="4"/>
      <c r="S39" s="4"/>
      <c r="T39" s="4"/>
      <c r="U39" s="4"/>
    </row>
    <row r="40" spans="1:21" ht="15.7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8"/>
      <c r="M40" s="21"/>
      <c r="N40" s="21"/>
      <c r="O40" s="23"/>
      <c r="P40" s="13"/>
      <c r="Q40" s="23"/>
      <c r="R40" s="4"/>
      <c r="S40" s="4"/>
      <c r="T40" s="4"/>
      <c r="U40" s="4"/>
    </row>
    <row r="41" spans="1:21" ht="15.7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8"/>
      <c r="M41" s="21"/>
      <c r="N41" s="21"/>
      <c r="O41" s="23"/>
      <c r="P41" s="13"/>
      <c r="Q41" s="23"/>
      <c r="R41" s="4"/>
      <c r="S41" s="4"/>
      <c r="T41" s="4"/>
      <c r="U41" s="4"/>
    </row>
    <row r="42" spans="1:21" ht="15.75" x14ac:dyDescent="0.25">
      <c r="A42" s="4"/>
      <c r="B42" s="4"/>
      <c r="C42" s="4"/>
      <c r="D42" s="4"/>
      <c r="E42" s="4"/>
      <c r="F42" s="4" t="s">
        <v>64</v>
      </c>
      <c r="G42" s="4" t="s">
        <v>91</v>
      </c>
      <c r="H42" s="4"/>
      <c r="I42" s="4"/>
      <c r="J42" s="4"/>
      <c r="K42" s="4"/>
      <c r="L42" s="18">
        <v>569</v>
      </c>
      <c r="M42" s="21" t="s">
        <v>9</v>
      </c>
      <c r="N42" s="21"/>
      <c r="O42" s="23">
        <v>13.65</v>
      </c>
      <c r="P42" s="13"/>
      <c r="Q42" s="23">
        <f>SUM(L42*O42)</f>
        <v>7766.85</v>
      </c>
      <c r="R42" s="4"/>
      <c r="S42" s="4"/>
      <c r="T42" s="4"/>
      <c r="U42" s="4"/>
    </row>
    <row r="43" spans="1:21" ht="15.75" x14ac:dyDescent="0.25">
      <c r="A43" s="4"/>
      <c r="B43" s="4"/>
      <c r="C43" s="4"/>
      <c r="D43" s="4"/>
      <c r="E43" s="4"/>
      <c r="F43" s="4"/>
      <c r="G43" s="4" t="s">
        <v>92</v>
      </c>
      <c r="H43" s="4"/>
      <c r="I43" s="4"/>
      <c r="J43" s="4"/>
      <c r="K43" s="4"/>
      <c r="L43" s="18"/>
      <c r="M43" s="21"/>
      <c r="N43" s="21"/>
      <c r="O43" s="23"/>
      <c r="P43" s="13"/>
      <c r="Q43" s="23"/>
      <c r="R43" s="4"/>
      <c r="S43" s="4"/>
      <c r="T43" s="4"/>
      <c r="U43" s="4"/>
    </row>
    <row r="44" spans="1:21" ht="15.75" x14ac:dyDescent="0.25">
      <c r="A44" s="4"/>
      <c r="B44" s="4"/>
      <c r="C44" s="4"/>
      <c r="D44" s="4"/>
      <c r="E44" s="4"/>
      <c r="F44" s="4"/>
      <c r="G44" s="4" t="s">
        <v>113</v>
      </c>
      <c r="H44" s="4"/>
      <c r="I44" s="4"/>
      <c r="J44" s="4"/>
      <c r="K44" s="4"/>
      <c r="L44" s="18"/>
      <c r="M44" s="21"/>
      <c r="N44" s="21"/>
      <c r="O44" s="23"/>
      <c r="P44" s="13"/>
      <c r="Q44" s="23"/>
      <c r="R44" s="4"/>
      <c r="S44" s="4"/>
      <c r="T44" s="4"/>
      <c r="U44" s="4"/>
    </row>
    <row r="45" spans="1:21" ht="15.75" x14ac:dyDescent="0.25">
      <c r="A45" s="4"/>
      <c r="B45" s="4"/>
      <c r="C45" s="4"/>
      <c r="D45" s="4"/>
      <c r="E45" s="4"/>
      <c r="F45" s="4"/>
      <c r="G45" s="4" t="s">
        <v>123</v>
      </c>
      <c r="H45" s="9"/>
      <c r="I45" s="9"/>
      <c r="J45" s="9"/>
      <c r="K45" s="4"/>
      <c r="L45" s="18"/>
      <c r="M45" s="21"/>
      <c r="N45" s="21"/>
      <c r="O45" s="23"/>
      <c r="P45" s="13"/>
      <c r="Q45" s="23"/>
      <c r="R45" s="4"/>
      <c r="S45" s="4"/>
      <c r="T45" s="4"/>
      <c r="U45" s="4"/>
    </row>
    <row r="46" spans="1:21" ht="15.75" x14ac:dyDescent="0.25">
      <c r="A46" s="4"/>
      <c r="B46" s="4"/>
      <c r="C46" s="4"/>
      <c r="D46" s="4"/>
      <c r="E46" s="4"/>
      <c r="F46" s="4"/>
      <c r="G46" s="4" t="s">
        <v>60</v>
      </c>
      <c r="H46" s="9"/>
      <c r="I46" s="9"/>
      <c r="J46" s="9"/>
      <c r="K46" s="4"/>
      <c r="L46" s="18"/>
      <c r="M46" s="21"/>
      <c r="N46" s="21"/>
      <c r="O46" s="23"/>
      <c r="P46" s="13"/>
      <c r="Q46" s="23"/>
      <c r="R46" s="4"/>
      <c r="S46" s="4"/>
      <c r="T46" s="4"/>
      <c r="U46" s="4"/>
    </row>
    <row r="47" spans="1:21" ht="15.75" x14ac:dyDescent="0.25">
      <c r="A47" s="4"/>
      <c r="B47" s="4"/>
      <c r="C47" s="4"/>
      <c r="D47" s="4"/>
      <c r="E47" s="4"/>
      <c r="F47" s="4"/>
      <c r="G47" s="4" t="s">
        <v>93</v>
      </c>
      <c r="H47" s="4"/>
      <c r="I47" s="4"/>
      <c r="J47" s="4"/>
      <c r="K47" s="4"/>
      <c r="L47" s="18"/>
      <c r="M47" s="21"/>
      <c r="N47" s="21"/>
      <c r="O47" s="23"/>
      <c r="P47" s="13"/>
      <c r="Q47" s="23"/>
      <c r="R47" s="4"/>
      <c r="S47" s="4"/>
      <c r="T47" s="4"/>
      <c r="U47" s="4"/>
    </row>
    <row r="48" spans="1:21" ht="15.7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18"/>
      <c r="M48" s="21"/>
      <c r="N48" s="21"/>
      <c r="O48" s="23"/>
      <c r="P48" s="13"/>
      <c r="Q48" s="23"/>
      <c r="R48" s="4"/>
      <c r="S48" s="4"/>
      <c r="T48" s="4"/>
      <c r="U48" s="4"/>
    </row>
    <row r="49" spans="1:21" ht="15.7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18"/>
      <c r="M49" s="21"/>
      <c r="N49" s="21"/>
      <c r="O49" s="23"/>
      <c r="P49" s="13"/>
      <c r="Q49" s="23"/>
      <c r="R49" s="4"/>
      <c r="S49" s="4"/>
      <c r="T49" s="4"/>
      <c r="U49" s="4"/>
    </row>
    <row r="50" spans="1:21" ht="15.75" x14ac:dyDescent="0.25">
      <c r="A50" s="4"/>
      <c r="B50" s="4"/>
      <c r="C50" s="4"/>
      <c r="D50" s="4"/>
      <c r="E50" s="4"/>
      <c r="F50" s="4" t="s">
        <v>65</v>
      </c>
      <c r="G50" s="4" t="s">
        <v>91</v>
      </c>
      <c r="H50" s="4"/>
      <c r="I50" s="4"/>
      <c r="J50" s="4"/>
      <c r="K50" s="4"/>
      <c r="L50" s="18">
        <v>1063</v>
      </c>
      <c r="M50" s="21" t="s">
        <v>9</v>
      </c>
      <c r="N50" s="21"/>
      <c r="O50" s="23">
        <v>13.65</v>
      </c>
      <c r="P50" s="13"/>
      <c r="Q50" s="23">
        <f>SUM(L50*O50)</f>
        <v>14509.95</v>
      </c>
      <c r="R50" s="4"/>
      <c r="S50" s="4"/>
      <c r="T50" s="4"/>
      <c r="U50" s="4"/>
    </row>
    <row r="51" spans="1:21" ht="15.75" x14ac:dyDescent="0.25">
      <c r="A51" s="4"/>
      <c r="B51" s="4"/>
      <c r="C51" s="4"/>
      <c r="D51" s="4"/>
      <c r="E51" s="4"/>
      <c r="F51" s="4"/>
      <c r="G51" s="4" t="s">
        <v>94</v>
      </c>
      <c r="H51" s="4"/>
      <c r="I51" s="4"/>
      <c r="J51" s="4"/>
      <c r="K51" s="4"/>
      <c r="L51" s="4"/>
      <c r="M51" s="21"/>
      <c r="N51" s="21"/>
      <c r="O51" s="23"/>
      <c r="P51" s="13"/>
      <c r="Q51" s="23"/>
      <c r="R51" s="4"/>
      <c r="S51" s="4"/>
      <c r="T51" s="4"/>
      <c r="U51" s="4"/>
    </row>
    <row r="52" spans="1:21" ht="15.75" x14ac:dyDescent="0.25">
      <c r="A52" s="4"/>
      <c r="B52" s="4"/>
      <c r="C52" s="4"/>
      <c r="D52" s="4"/>
      <c r="E52" s="4"/>
      <c r="F52" s="4"/>
      <c r="G52" s="4" t="s">
        <v>113</v>
      </c>
      <c r="H52" s="9"/>
      <c r="I52" s="4"/>
      <c r="J52" s="4"/>
      <c r="K52" s="4"/>
      <c r="L52" s="18"/>
      <c r="M52" s="21"/>
      <c r="N52" s="21"/>
      <c r="O52" s="23"/>
      <c r="P52" s="13"/>
      <c r="Q52" s="23"/>
      <c r="R52" s="4"/>
      <c r="S52" s="4"/>
      <c r="T52" s="4"/>
      <c r="U52" s="4"/>
    </row>
    <row r="53" spans="1:21" ht="15.75" x14ac:dyDescent="0.25">
      <c r="A53" s="4"/>
      <c r="B53" s="4"/>
      <c r="C53" s="4"/>
      <c r="D53" s="4"/>
      <c r="E53" s="4"/>
      <c r="F53" s="4"/>
      <c r="G53" s="4" t="s">
        <v>124</v>
      </c>
      <c r="H53" s="9"/>
      <c r="I53" s="4"/>
      <c r="J53" s="4"/>
      <c r="K53" s="4"/>
      <c r="L53" s="18"/>
      <c r="M53" s="21"/>
      <c r="N53" s="21"/>
      <c r="O53" s="23"/>
      <c r="P53" s="13"/>
      <c r="Q53" s="23"/>
      <c r="R53" s="4"/>
      <c r="S53" s="4"/>
      <c r="T53" s="4"/>
      <c r="U53" s="4"/>
    </row>
    <row r="54" spans="1:21" ht="15.75" x14ac:dyDescent="0.25">
      <c r="A54" s="4"/>
      <c r="B54" s="4"/>
      <c r="C54" s="4"/>
      <c r="D54" s="4"/>
      <c r="E54" s="4"/>
      <c r="F54" s="4"/>
      <c r="G54" s="4" t="s">
        <v>60</v>
      </c>
      <c r="H54" s="9"/>
      <c r="I54" s="4"/>
      <c r="J54" s="4"/>
      <c r="K54" s="4"/>
      <c r="L54" s="18"/>
      <c r="M54" s="21"/>
      <c r="N54" s="21"/>
      <c r="O54" s="23"/>
      <c r="P54" s="13"/>
      <c r="Q54" s="23"/>
      <c r="R54" s="4"/>
      <c r="S54" s="4"/>
      <c r="T54" s="4"/>
      <c r="U54" s="4"/>
    </row>
    <row r="55" spans="1:21" ht="15.75" x14ac:dyDescent="0.25">
      <c r="A55" s="4"/>
      <c r="B55" s="4"/>
      <c r="C55" s="4"/>
      <c r="D55" s="4"/>
      <c r="E55" s="4"/>
      <c r="F55" s="4"/>
      <c r="G55" s="4" t="s">
        <v>67</v>
      </c>
      <c r="H55" s="4"/>
      <c r="I55" s="4"/>
      <c r="J55" s="4"/>
      <c r="K55" s="4"/>
      <c r="L55" s="18"/>
      <c r="M55" s="21"/>
      <c r="N55" s="21"/>
      <c r="O55" s="23"/>
      <c r="P55" s="13"/>
      <c r="Q55" s="23"/>
      <c r="R55" s="4"/>
      <c r="S55" s="4"/>
      <c r="T55" s="4"/>
      <c r="U55" s="4"/>
    </row>
    <row r="56" spans="1:21" ht="15.75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18"/>
      <c r="M56" s="21"/>
      <c r="N56" s="21"/>
      <c r="O56" s="23"/>
      <c r="P56" s="13"/>
      <c r="Q56" s="23"/>
      <c r="R56" s="4"/>
      <c r="S56" s="4"/>
      <c r="T56" s="4"/>
      <c r="U56" s="4"/>
    </row>
    <row r="57" spans="1:21" ht="15.75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18"/>
      <c r="M57" s="21"/>
      <c r="N57" s="21"/>
      <c r="O57" s="23"/>
      <c r="P57" s="13"/>
      <c r="Q57" s="23"/>
      <c r="R57" s="4"/>
      <c r="S57" s="4"/>
      <c r="T57" s="4"/>
      <c r="U57" s="4"/>
    </row>
    <row r="58" spans="1:21" ht="15.75" x14ac:dyDescent="0.25">
      <c r="A58" s="4"/>
      <c r="B58" s="4"/>
      <c r="C58" s="4"/>
      <c r="D58" s="4"/>
      <c r="E58" s="4"/>
      <c r="F58" s="4" t="s">
        <v>95</v>
      </c>
      <c r="G58" s="4" t="s">
        <v>79</v>
      </c>
      <c r="H58" s="4"/>
      <c r="I58" s="4"/>
      <c r="J58" s="4"/>
      <c r="K58" s="4"/>
      <c r="L58" s="18">
        <v>411</v>
      </c>
      <c r="M58" s="21" t="s">
        <v>9</v>
      </c>
      <c r="N58" s="21"/>
      <c r="O58" s="23">
        <v>13.85</v>
      </c>
      <c r="P58" s="13"/>
      <c r="Q58" s="23">
        <f>SUM(L58*O58)</f>
        <v>5692.3499999999995</v>
      </c>
      <c r="R58" s="4"/>
      <c r="S58" s="4"/>
      <c r="T58" s="4"/>
      <c r="U58" s="4"/>
    </row>
    <row r="59" spans="1:21" ht="15.75" x14ac:dyDescent="0.25">
      <c r="A59" s="4"/>
      <c r="B59" s="4"/>
      <c r="C59" s="4"/>
      <c r="D59" s="4"/>
      <c r="E59" s="4"/>
      <c r="F59" s="4"/>
      <c r="G59" s="4" t="s">
        <v>105</v>
      </c>
      <c r="H59" s="4"/>
      <c r="I59" s="4"/>
      <c r="J59" s="4"/>
      <c r="K59" s="4"/>
      <c r="L59" s="18"/>
      <c r="M59" s="21"/>
      <c r="N59" s="21"/>
      <c r="O59" s="23"/>
      <c r="P59" s="13"/>
      <c r="Q59" s="23"/>
      <c r="R59" s="4"/>
      <c r="S59" s="4"/>
      <c r="T59" s="4"/>
      <c r="U59" s="4"/>
    </row>
    <row r="60" spans="1:21" ht="15.75" x14ac:dyDescent="0.25">
      <c r="A60" s="4"/>
      <c r="B60" s="4"/>
      <c r="C60" s="4"/>
      <c r="D60" s="4"/>
      <c r="E60" s="4"/>
      <c r="F60" s="4"/>
      <c r="G60" s="4" t="s">
        <v>68</v>
      </c>
      <c r="H60" s="4"/>
      <c r="I60" s="4"/>
      <c r="J60" s="4"/>
      <c r="K60" s="4"/>
      <c r="L60" s="18"/>
      <c r="M60" s="21"/>
      <c r="N60" s="21"/>
      <c r="O60" s="23"/>
      <c r="P60" s="13"/>
      <c r="Q60" s="23"/>
      <c r="R60" s="4"/>
      <c r="S60" s="4"/>
      <c r="T60" s="4"/>
      <c r="U60" s="4"/>
    </row>
    <row r="61" spans="1:21" ht="15.75" x14ac:dyDescent="0.25">
      <c r="A61" s="4"/>
      <c r="B61" s="4"/>
      <c r="C61" s="4"/>
      <c r="D61" s="4"/>
      <c r="E61" s="4"/>
      <c r="F61" s="4"/>
      <c r="G61" s="4" t="s">
        <v>115</v>
      </c>
      <c r="H61" s="4"/>
      <c r="I61" s="4"/>
      <c r="J61" s="4"/>
      <c r="K61" s="4"/>
      <c r="L61" s="18"/>
      <c r="M61" s="21"/>
      <c r="N61" s="21"/>
      <c r="O61" s="23"/>
      <c r="P61" s="13"/>
      <c r="Q61" s="23"/>
      <c r="R61" s="4"/>
      <c r="S61" s="4"/>
      <c r="T61" s="4"/>
      <c r="U61" s="4"/>
    </row>
    <row r="62" spans="1:21" ht="15.75" x14ac:dyDescent="0.25">
      <c r="A62" s="4"/>
      <c r="B62" s="4"/>
      <c r="C62" s="4"/>
      <c r="D62" s="4"/>
      <c r="E62" s="4"/>
      <c r="F62" s="4"/>
      <c r="G62" s="4" t="s">
        <v>116</v>
      </c>
      <c r="H62" s="4"/>
      <c r="I62" s="4"/>
      <c r="J62" s="4"/>
      <c r="K62" s="4"/>
      <c r="L62" s="18"/>
      <c r="M62" s="21"/>
      <c r="N62" s="21"/>
      <c r="O62" s="23"/>
      <c r="P62" s="13"/>
      <c r="Q62" s="23"/>
      <c r="R62" s="4"/>
      <c r="S62" s="4"/>
      <c r="T62" s="4"/>
      <c r="U62" s="4"/>
    </row>
    <row r="63" spans="1:21" ht="15.75" x14ac:dyDescent="0.25">
      <c r="A63" s="4"/>
      <c r="B63" s="4"/>
      <c r="C63" s="4"/>
      <c r="D63" s="4"/>
      <c r="E63" s="4"/>
      <c r="F63" s="4"/>
      <c r="G63" s="4" t="s">
        <v>106</v>
      </c>
      <c r="H63" s="4"/>
      <c r="I63" s="4"/>
      <c r="J63" s="4"/>
      <c r="K63" s="4"/>
      <c r="L63" s="18"/>
      <c r="M63" s="21"/>
      <c r="N63" s="21"/>
      <c r="O63" s="23"/>
      <c r="P63" s="13"/>
      <c r="Q63" s="23"/>
      <c r="R63" s="4"/>
      <c r="S63" s="4"/>
      <c r="T63" s="4"/>
      <c r="U63" s="4"/>
    </row>
    <row r="64" spans="1:21" ht="15.75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8"/>
      <c r="M64" s="21"/>
      <c r="N64" s="21"/>
      <c r="O64" s="23"/>
      <c r="P64" s="13"/>
      <c r="Q64" s="23"/>
      <c r="R64" s="4"/>
      <c r="S64" s="4"/>
      <c r="T64" s="4"/>
      <c r="U64" s="4"/>
    </row>
    <row r="65" spans="1:21" ht="15.75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8"/>
      <c r="M65" s="21"/>
      <c r="N65" s="21"/>
      <c r="O65" s="23"/>
      <c r="P65" s="13"/>
      <c r="Q65" s="23"/>
      <c r="R65" s="4"/>
      <c r="S65" s="4"/>
      <c r="T65" s="4"/>
      <c r="U65" s="4"/>
    </row>
    <row r="66" spans="1:21" ht="15.75" x14ac:dyDescent="0.25">
      <c r="A66" s="4"/>
      <c r="B66" s="4"/>
      <c r="C66" s="4"/>
      <c r="D66" s="4"/>
      <c r="E66" s="4"/>
      <c r="F66" s="4" t="s">
        <v>96</v>
      </c>
      <c r="G66" s="4" t="s">
        <v>79</v>
      </c>
      <c r="H66" s="4"/>
      <c r="I66" s="4"/>
      <c r="J66" s="4"/>
      <c r="K66" s="4"/>
      <c r="L66" s="18">
        <v>206</v>
      </c>
      <c r="M66" s="21" t="s">
        <v>9</v>
      </c>
      <c r="N66" s="21"/>
      <c r="O66" s="23">
        <v>13.85</v>
      </c>
      <c r="P66" s="13"/>
      <c r="Q66" s="23">
        <f>SUM(L66*O66)</f>
        <v>2853.1</v>
      </c>
      <c r="R66" s="4"/>
      <c r="S66" s="4"/>
      <c r="T66" s="4"/>
      <c r="U66" s="4"/>
    </row>
    <row r="67" spans="1:21" ht="15.75" x14ac:dyDescent="0.25">
      <c r="A67" s="4"/>
      <c r="B67" s="4"/>
      <c r="C67" s="4"/>
      <c r="D67" s="4"/>
      <c r="E67" s="4"/>
      <c r="F67" s="4"/>
      <c r="G67" s="4" t="s">
        <v>107</v>
      </c>
      <c r="H67" s="4"/>
      <c r="I67" s="4"/>
      <c r="J67" s="4"/>
      <c r="K67" s="4"/>
      <c r="L67" s="18"/>
      <c r="M67" s="21"/>
      <c r="N67" s="21"/>
      <c r="O67" s="23"/>
      <c r="P67" s="13"/>
      <c r="Q67" s="23"/>
      <c r="R67" s="4"/>
      <c r="S67" s="4"/>
      <c r="T67" s="4"/>
      <c r="U67" s="4"/>
    </row>
    <row r="68" spans="1:21" ht="15.75" x14ac:dyDescent="0.25">
      <c r="A68" s="4"/>
      <c r="B68" s="4"/>
      <c r="C68" s="4"/>
      <c r="D68" s="4"/>
      <c r="E68" s="4"/>
      <c r="F68" s="4"/>
      <c r="G68" s="4" t="s">
        <v>68</v>
      </c>
      <c r="H68" s="4"/>
      <c r="I68" s="4"/>
      <c r="J68" s="4"/>
      <c r="K68" s="4"/>
      <c r="L68" s="18"/>
      <c r="M68" s="21"/>
      <c r="N68" s="21"/>
      <c r="O68" s="23"/>
      <c r="P68" s="13"/>
      <c r="Q68" s="23"/>
      <c r="R68" s="4"/>
      <c r="S68" s="4"/>
      <c r="T68" s="4"/>
      <c r="U68" s="4"/>
    </row>
    <row r="69" spans="1:21" ht="15.75" x14ac:dyDescent="0.25">
      <c r="A69" s="4"/>
      <c r="B69" s="4"/>
      <c r="C69" s="4"/>
      <c r="D69" s="4"/>
      <c r="E69" s="4"/>
      <c r="F69" s="4"/>
      <c r="G69" s="4" t="s">
        <v>117</v>
      </c>
      <c r="H69" s="4"/>
      <c r="I69" s="4"/>
      <c r="J69" s="4"/>
      <c r="K69" s="4"/>
      <c r="L69" s="18"/>
      <c r="M69" s="21"/>
      <c r="N69" s="21"/>
      <c r="O69" s="23"/>
      <c r="P69" s="13"/>
      <c r="Q69" s="23"/>
      <c r="R69" s="4"/>
      <c r="S69" s="4"/>
      <c r="T69" s="4"/>
      <c r="U69" s="4"/>
    </row>
    <row r="70" spans="1:21" ht="15.75" x14ac:dyDescent="0.25">
      <c r="A70" s="4"/>
      <c r="B70" s="4"/>
      <c r="C70" s="4"/>
      <c r="D70" s="4"/>
      <c r="E70" s="4"/>
      <c r="F70" s="4"/>
      <c r="G70" s="4" t="s">
        <v>60</v>
      </c>
      <c r="H70" s="4"/>
      <c r="I70" s="4"/>
      <c r="J70" s="4"/>
      <c r="K70" s="4"/>
      <c r="L70" s="18"/>
      <c r="M70" s="21"/>
      <c r="N70" s="21"/>
      <c r="O70" s="23"/>
      <c r="P70" s="13"/>
      <c r="Q70" s="23"/>
      <c r="R70" s="4"/>
      <c r="S70" s="4"/>
      <c r="T70" s="4"/>
      <c r="U70" s="4"/>
    </row>
    <row r="71" spans="1:21" ht="15.75" x14ac:dyDescent="0.25">
      <c r="A71" s="4"/>
      <c r="B71" s="4"/>
      <c r="C71" s="4"/>
      <c r="D71" s="4"/>
      <c r="E71" s="4"/>
      <c r="F71" s="4"/>
      <c r="G71" s="4" t="s">
        <v>66</v>
      </c>
      <c r="H71" s="4"/>
      <c r="I71" s="4"/>
      <c r="J71" s="4"/>
      <c r="K71" s="4"/>
      <c r="L71" s="18"/>
      <c r="M71" s="21"/>
      <c r="N71" s="21"/>
      <c r="O71" s="23"/>
      <c r="P71" s="13"/>
      <c r="Q71" s="23"/>
      <c r="R71" s="4"/>
      <c r="S71" s="4"/>
      <c r="T71" s="4"/>
      <c r="U71" s="4"/>
    </row>
    <row r="72" spans="1:21" ht="15.75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8"/>
      <c r="M72" s="21"/>
      <c r="N72" s="21"/>
      <c r="O72" s="23"/>
      <c r="P72" s="13"/>
      <c r="Q72" s="23"/>
      <c r="R72" s="4"/>
      <c r="S72" s="4"/>
      <c r="T72" s="4"/>
      <c r="U72" s="4"/>
    </row>
    <row r="73" spans="1:21" ht="15.75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8"/>
      <c r="M73" s="21"/>
      <c r="N73" s="21"/>
      <c r="O73" s="23"/>
      <c r="P73" s="13"/>
      <c r="Q73" s="23"/>
      <c r="R73" s="4"/>
      <c r="S73" s="4"/>
      <c r="T73" s="4"/>
      <c r="U73" s="4"/>
    </row>
    <row r="74" spans="1:21" ht="15.75" x14ac:dyDescent="0.25">
      <c r="A74" s="4"/>
      <c r="B74" s="4"/>
      <c r="C74" s="4"/>
      <c r="D74" s="4"/>
      <c r="E74" s="4"/>
      <c r="F74" s="4" t="s">
        <v>97</v>
      </c>
      <c r="G74" s="4" t="s">
        <v>79</v>
      </c>
      <c r="H74" s="4"/>
      <c r="I74" s="4"/>
      <c r="J74" s="4"/>
      <c r="K74" s="4"/>
      <c r="L74" s="18">
        <v>203</v>
      </c>
      <c r="M74" s="21" t="s">
        <v>9</v>
      </c>
      <c r="N74" s="21"/>
      <c r="O74" s="23">
        <v>13.85</v>
      </c>
      <c r="P74" s="13"/>
      <c r="Q74" s="23">
        <f>SUM(L74*O74)</f>
        <v>2811.5499999999997</v>
      </c>
      <c r="R74" s="4"/>
      <c r="S74" s="4"/>
      <c r="T74" s="4"/>
      <c r="U74" s="4"/>
    </row>
    <row r="75" spans="1:21" ht="15.75" x14ac:dyDescent="0.25">
      <c r="A75" s="4"/>
      <c r="B75" s="4"/>
      <c r="C75" s="4"/>
      <c r="D75" s="4"/>
      <c r="E75" s="4"/>
      <c r="F75" s="4"/>
      <c r="G75" s="4" t="s">
        <v>80</v>
      </c>
      <c r="H75" s="4"/>
      <c r="I75" s="4"/>
      <c r="J75" s="4"/>
      <c r="K75" s="4"/>
      <c r="L75" s="18"/>
      <c r="M75" s="21"/>
      <c r="N75" s="21"/>
      <c r="O75" s="23"/>
      <c r="P75" s="13"/>
      <c r="Q75" s="23"/>
      <c r="R75" s="4"/>
      <c r="S75" s="4"/>
      <c r="T75" s="4"/>
      <c r="U75" s="4"/>
    </row>
    <row r="76" spans="1:21" ht="15.75" x14ac:dyDescent="0.25">
      <c r="A76" s="4"/>
      <c r="B76" s="4"/>
      <c r="C76" s="4"/>
      <c r="D76" s="4"/>
      <c r="E76" s="4"/>
      <c r="F76" s="4"/>
      <c r="G76" s="4" t="s">
        <v>68</v>
      </c>
      <c r="H76" s="4"/>
      <c r="I76" s="4"/>
      <c r="J76" s="4"/>
      <c r="K76" s="4"/>
      <c r="L76" s="18"/>
      <c r="M76" s="21"/>
      <c r="N76" s="21"/>
      <c r="O76" s="23"/>
      <c r="P76" s="13"/>
      <c r="Q76" s="23"/>
      <c r="R76" s="4"/>
      <c r="S76" s="4"/>
      <c r="T76" s="4"/>
      <c r="U76" s="4"/>
    </row>
    <row r="77" spans="1:21" ht="15.75" x14ac:dyDescent="0.25">
      <c r="A77" s="4"/>
      <c r="B77" s="4"/>
      <c r="C77" s="4"/>
      <c r="D77" s="4"/>
      <c r="E77" s="4"/>
      <c r="F77" s="4"/>
      <c r="G77" s="4" t="s">
        <v>82</v>
      </c>
      <c r="H77" s="4"/>
      <c r="I77" s="4"/>
      <c r="J77" s="4"/>
      <c r="K77" s="4"/>
      <c r="L77" s="18"/>
      <c r="M77" s="21"/>
      <c r="N77" s="21"/>
      <c r="O77" s="23"/>
      <c r="P77" s="13"/>
      <c r="Q77" s="23"/>
      <c r="R77" s="4"/>
      <c r="S77" s="4"/>
      <c r="T77" s="4"/>
      <c r="U77" s="4"/>
    </row>
    <row r="78" spans="1:21" ht="15.75" x14ac:dyDescent="0.25">
      <c r="A78" s="4"/>
      <c r="B78" s="4"/>
      <c r="C78" s="4"/>
      <c r="D78" s="4"/>
      <c r="E78" s="4"/>
      <c r="F78" s="4"/>
      <c r="G78" s="4" t="s">
        <v>60</v>
      </c>
      <c r="H78" s="4"/>
      <c r="I78" s="4"/>
      <c r="J78" s="4"/>
      <c r="K78" s="4"/>
      <c r="L78" s="18"/>
      <c r="M78" s="21"/>
      <c r="N78" s="21"/>
      <c r="O78" s="23"/>
      <c r="P78" s="13"/>
      <c r="Q78" s="23"/>
      <c r="R78" s="4"/>
      <c r="S78" s="4"/>
      <c r="T78" s="4"/>
      <c r="U78" s="4"/>
    </row>
    <row r="79" spans="1:21" ht="15.75" x14ac:dyDescent="0.25">
      <c r="A79" s="4"/>
      <c r="B79" s="4"/>
      <c r="C79" s="4"/>
      <c r="D79" s="4"/>
      <c r="E79" s="4"/>
      <c r="F79" s="4"/>
      <c r="G79" s="4" t="s">
        <v>66</v>
      </c>
      <c r="H79" s="4"/>
      <c r="I79" s="4"/>
      <c r="J79" s="4"/>
      <c r="K79" s="4"/>
      <c r="L79" s="18"/>
      <c r="M79" s="21"/>
      <c r="N79" s="21"/>
      <c r="O79" s="23"/>
      <c r="P79" s="13"/>
      <c r="Q79" s="23"/>
      <c r="R79" s="4"/>
      <c r="S79" s="4"/>
      <c r="T79" s="4"/>
      <c r="U79" s="4"/>
    </row>
    <row r="80" spans="1:21" ht="15.75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8"/>
      <c r="M80" s="21"/>
      <c r="N80" s="21"/>
      <c r="O80" s="23"/>
      <c r="P80" s="13"/>
      <c r="Q80" s="23"/>
      <c r="R80" s="4"/>
      <c r="S80" s="4"/>
      <c r="T80" s="4"/>
      <c r="U80" s="4"/>
    </row>
    <row r="81" spans="1:21" ht="15.75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8"/>
      <c r="M81" s="21"/>
      <c r="N81" s="21"/>
      <c r="O81" s="23"/>
      <c r="P81" s="13"/>
      <c r="Q81" s="23"/>
      <c r="R81" s="4"/>
      <c r="S81" s="4"/>
      <c r="T81" s="4"/>
      <c r="U81" s="4"/>
    </row>
    <row r="82" spans="1:21" ht="15.75" x14ac:dyDescent="0.25">
      <c r="A82" s="4"/>
      <c r="B82" s="4"/>
      <c r="C82" s="4"/>
      <c r="D82" s="4"/>
      <c r="E82" s="4"/>
      <c r="F82" s="4" t="s">
        <v>98</v>
      </c>
      <c r="G82" s="4" t="s">
        <v>79</v>
      </c>
      <c r="H82" s="4"/>
      <c r="I82" s="4"/>
      <c r="J82" s="4"/>
      <c r="K82" s="4"/>
      <c r="L82" s="18">
        <v>203</v>
      </c>
      <c r="M82" s="21" t="s">
        <v>9</v>
      </c>
      <c r="N82" s="21"/>
      <c r="O82" s="23">
        <v>13.85</v>
      </c>
      <c r="P82" s="13"/>
      <c r="Q82" s="23">
        <f>SUM(L82*O82)</f>
        <v>2811.5499999999997</v>
      </c>
      <c r="R82" s="4"/>
      <c r="S82" s="4"/>
      <c r="T82" s="4"/>
      <c r="U82" s="4"/>
    </row>
    <row r="83" spans="1:21" ht="15.75" x14ac:dyDescent="0.25">
      <c r="A83" s="4"/>
      <c r="B83" s="4"/>
      <c r="C83" s="4"/>
      <c r="D83" s="4"/>
      <c r="E83" s="4"/>
      <c r="F83" s="4"/>
      <c r="G83" s="4" t="s">
        <v>108</v>
      </c>
      <c r="H83" s="4"/>
      <c r="I83" s="4"/>
      <c r="J83" s="4"/>
      <c r="K83" s="4"/>
      <c r="L83" s="18"/>
      <c r="M83" s="21"/>
      <c r="N83" s="21"/>
      <c r="O83" s="23"/>
      <c r="P83" s="13"/>
      <c r="Q83" s="23"/>
      <c r="R83" s="4"/>
      <c r="S83" s="4"/>
      <c r="T83" s="4"/>
      <c r="U83" s="4"/>
    </row>
    <row r="84" spans="1:21" ht="15.75" x14ac:dyDescent="0.25">
      <c r="A84" s="4"/>
      <c r="B84" s="4"/>
      <c r="C84" s="4"/>
      <c r="D84" s="4"/>
      <c r="E84" s="4"/>
      <c r="F84" s="4"/>
      <c r="G84" s="4" t="s">
        <v>68</v>
      </c>
      <c r="H84" s="4"/>
      <c r="I84" s="4"/>
      <c r="J84" s="4"/>
      <c r="K84" s="4"/>
      <c r="L84" s="18"/>
      <c r="M84" s="21"/>
      <c r="N84" s="21"/>
      <c r="O84" s="23"/>
      <c r="P84" s="13"/>
      <c r="Q84" s="23"/>
      <c r="R84" s="4"/>
      <c r="S84" s="4"/>
      <c r="T84" s="4"/>
      <c r="U84" s="4"/>
    </row>
    <row r="85" spans="1:21" ht="15.75" x14ac:dyDescent="0.25">
      <c r="A85" s="4"/>
      <c r="B85" s="4"/>
      <c r="C85" s="4"/>
      <c r="D85" s="4"/>
      <c r="E85" s="4"/>
      <c r="F85" s="4"/>
      <c r="G85" s="4" t="s">
        <v>118</v>
      </c>
      <c r="H85" s="4"/>
      <c r="I85" s="4"/>
      <c r="J85" s="4"/>
      <c r="K85" s="4"/>
      <c r="L85" s="18"/>
      <c r="M85" s="21"/>
      <c r="N85" s="21"/>
      <c r="O85" s="23"/>
      <c r="P85" s="13"/>
      <c r="Q85" s="23"/>
      <c r="R85" s="4"/>
      <c r="S85" s="4"/>
      <c r="T85" s="4"/>
      <c r="U85" s="4"/>
    </row>
    <row r="86" spans="1:21" ht="15.75" x14ac:dyDescent="0.25">
      <c r="A86" s="4"/>
      <c r="B86" s="4"/>
      <c r="C86" s="4"/>
      <c r="D86" s="4"/>
      <c r="E86" s="4"/>
      <c r="F86" s="4"/>
      <c r="G86" s="4" t="s">
        <v>112</v>
      </c>
      <c r="H86" s="4"/>
      <c r="I86" s="4"/>
      <c r="J86" s="4"/>
      <c r="K86" s="4"/>
      <c r="L86" s="18"/>
      <c r="M86" s="21"/>
      <c r="N86" s="21"/>
      <c r="O86" s="23"/>
      <c r="P86" s="13"/>
      <c r="Q86" s="23"/>
      <c r="R86" s="4"/>
      <c r="S86" s="4"/>
      <c r="T86" s="4"/>
      <c r="U86" s="4"/>
    </row>
    <row r="87" spans="1:21" ht="15.75" x14ac:dyDescent="0.25">
      <c r="A87" s="4"/>
      <c r="B87" s="4"/>
      <c r="C87" s="4"/>
      <c r="D87" s="4"/>
      <c r="E87" s="4"/>
      <c r="F87" s="4"/>
      <c r="G87" s="4" t="s">
        <v>66</v>
      </c>
      <c r="H87" s="4"/>
      <c r="I87" s="4"/>
      <c r="J87" s="4"/>
      <c r="K87" s="4"/>
      <c r="L87" s="18"/>
      <c r="M87" s="21"/>
      <c r="N87" s="21"/>
      <c r="O87" s="23"/>
      <c r="P87" s="13"/>
      <c r="Q87" s="23"/>
      <c r="R87" s="4"/>
      <c r="S87" s="4"/>
      <c r="T87" s="4"/>
      <c r="U87" s="4"/>
    </row>
    <row r="88" spans="1:21" ht="15.75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8"/>
      <c r="M88" s="21"/>
      <c r="N88" s="21"/>
      <c r="O88" s="23"/>
      <c r="P88" s="13"/>
      <c r="Q88" s="23"/>
      <c r="R88" s="4"/>
      <c r="S88" s="4"/>
      <c r="T88" s="4"/>
      <c r="U88" s="4"/>
    </row>
    <row r="89" spans="1:21" ht="15.75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8"/>
      <c r="M89" s="21"/>
      <c r="N89" s="21"/>
      <c r="O89" s="23"/>
      <c r="P89" s="13"/>
      <c r="Q89" s="23"/>
      <c r="R89" s="4"/>
      <c r="S89" s="4"/>
      <c r="T89" s="4"/>
      <c r="U89" s="4"/>
    </row>
    <row r="90" spans="1:21" ht="15.75" x14ac:dyDescent="0.25">
      <c r="A90" s="4"/>
      <c r="B90" s="4"/>
      <c r="C90" s="4"/>
      <c r="D90" s="4"/>
      <c r="E90" s="4"/>
      <c r="F90" s="4" t="s">
        <v>99</v>
      </c>
      <c r="G90" s="4" t="s">
        <v>79</v>
      </c>
      <c r="H90" s="4"/>
      <c r="I90" s="4"/>
      <c r="J90" s="4"/>
      <c r="K90" s="4"/>
      <c r="L90" s="18">
        <v>214</v>
      </c>
      <c r="M90" s="21" t="s">
        <v>9</v>
      </c>
      <c r="N90" s="21"/>
      <c r="O90" s="23">
        <v>13.85</v>
      </c>
      <c r="P90" s="13"/>
      <c r="Q90" s="23">
        <f>SUM(L90*O90)</f>
        <v>2963.9</v>
      </c>
      <c r="R90" s="4"/>
      <c r="S90" s="4"/>
      <c r="T90" s="4"/>
      <c r="U90" s="4"/>
    </row>
    <row r="91" spans="1:21" ht="15.75" x14ac:dyDescent="0.25">
      <c r="A91" s="4"/>
      <c r="B91" s="4"/>
      <c r="C91" s="4"/>
      <c r="D91" s="4"/>
      <c r="E91" s="4"/>
      <c r="F91" s="4"/>
      <c r="G91" s="4" t="s">
        <v>104</v>
      </c>
      <c r="H91" s="4"/>
      <c r="I91" s="4"/>
      <c r="J91" s="4"/>
      <c r="K91" s="4"/>
      <c r="L91" s="18"/>
      <c r="M91" s="21"/>
      <c r="N91" s="21"/>
      <c r="O91" s="23"/>
      <c r="P91" s="13"/>
      <c r="Q91" s="23"/>
      <c r="R91" s="4"/>
      <c r="S91" s="4"/>
      <c r="T91" s="4"/>
      <c r="U91" s="4"/>
    </row>
    <row r="92" spans="1:21" ht="15.75" x14ac:dyDescent="0.25">
      <c r="A92" s="4"/>
      <c r="B92" s="4"/>
      <c r="C92" s="4"/>
      <c r="D92" s="4"/>
      <c r="E92" s="4"/>
      <c r="F92" s="4"/>
      <c r="G92" s="4" t="s">
        <v>68</v>
      </c>
      <c r="H92" s="4"/>
      <c r="I92" s="4"/>
      <c r="J92" s="4"/>
      <c r="K92" s="4"/>
      <c r="L92" s="18"/>
      <c r="M92" s="21"/>
      <c r="N92" s="21"/>
      <c r="O92" s="23"/>
      <c r="P92" s="13"/>
      <c r="Q92" s="23"/>
      <c r="R92" s="4"/>
      <c r="S92" s="4"/>
      <c r="T92" s="4"/>
      <c r="U92" s="4"/>
    </row>
    <row r="93" spans="1:21" ht="15.75" x14ac:dyDescent="0.25">
      <c r="A93" s="4"/>
      <c r="B93" s="4"/>
      <c r="C93" s="4"/>
      <c r="D93" s="4"/>
      <c r="E93" s="4"/>
      <c r="F93" s="4"/>
      <c r="G93" s="4" t="s">
        <v>119</v>
      </c>
      <c r="H93" s="4"/>
      <c r="I93" s="4"/>
      <c r="J93" s="4"/>
      <c r="K93" s="4"/>
      <c r="L93" s="18"/>
      <c r="M93" s="21"/>
      <c r="N93" s="21"/>
      <c r="O93" s="23"/>
      <c r="P93" s="13"/>
      <c r="Q93" s="23"/>
      <c r="R93" s="4"/>
      <c r="S93" s="4"/>
      <c r="T93" s="4"/>
      <c r="U93" s="4"/>
    </row>
    <row r="94" spans="1:21" ht="15.75" x14ac:dyDescent="0.25">
      <c r="A94" s="4"/>
      <c r="B94" s="4"/>
      <c r="C94" s="4"/>
      <c r="D94" s="4"/>
      <c r="E94" s="4"/>
      <c r="F94" s="4"/>
      <c r="G94" s="4" t="s">
        <v>60</v>
      </c>
      <c r="H94" s="4"/>
      <c r="I94" s="4"/>
      <c r="J94" s="4"/>
      <c r="K94" s="4"/>
      <c r="L94" s="18"/>
      <c r="M94" s="21"/>
      <c r="N94" s="21"/>
      <c r="O94" s="23"/>
      <c r="P94" s="13"/>
      <c r="Q94" s="23"/>
      <c r="R94" s="4"/>
      <c r="S94" s="4"/>
      <c r="T94" s="4"/>
      <c r="U94" s="4"/>
    </row>
    <row r="95" spans="1:21" ht="15.75" x14ac:dyDescent="0.25">
      <c r="A95" s="4"/>
      <c r="B95" s="4"/>
      <c r="C95" s="4"/>
      <c r="D95" s="4"/>
      <c r="E95" s="4"/>
      <c r="F95" s="4"/>
      <c r="G95" s="4" t="s">
        <v>66</v>
      </c>
      <c r="H95" s="4"/>
      <c r="I95" s="4"/>
      <c r="J95" s="4"/>
      <c r="K95" s="4"/>
      <c r="L95" s="18"/>
      <c r="M95" s="21"/>
      <c r="N95" s="21"/>
      <c r="O95" s="23"/>
      <c r="P95" s="13"/>
      <c r="Q95" s="23"/>
      <c r="R95" s="4"/>
      <c r="S95" s="4"/>
      <c r="T95" s="4"/>
      <c r="U95" s="4"/>
    </row>
    <row r="96" spans="1:21" ht="15.75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18"/>
      <c r="M96" s="21"/>
      <c r="N96" s="21"/>
      <c r="O96" s="23"/>
      <c r="P96" s="13"/>
      <c r="Q96" s="23"/>
      <c r="R96" s="4"/>
      <c r="S96" s="4"/>
      <c r="T96" s="4"/>
      <c r="U96" s="4"/>
    </row>
    <row r="97" spans="1:21" ht="15.75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18"/>
      <c r="M97" s="21"/>
      <c r="N97" s="21"/>
      <c r="O97" s="23"/>
      <c r="P97" s="13"/>
      <c r="Q97" s="23"/>
      <c r="R97" s="4"/>
      <c r="S97" s="4"/>
      <c r="T97" s="4"/>
      <c r="U97" s="4"/>
    </row>
    <row r="98" spans="1:21" ht="15.75" x14ac:dyDescent="0.25">
      <c r="A98" s="4"/>
      <c r="B98" s="4"/>
      <c r="C98" s="4"/>
      <c r="D98" s="4"/>
      <c r="E98" s="4"/>
      <c r="F98" s="4" t="s">
        <v>100</v>
      </c>
      <c r="G98" s="4" t="s">
        <v>81</v>
      </c>
      <c r="H98" s="4"/>
      <c r="I98" s="4"/>
      <c r="J98" s="4"/>
      <c r="K98" s="4"/>
      <c r="L98" s="18">
        <v>109</v>
      </c>
      <c r="M98" s="21" t="s">
        <v>9</v>
      </c>
      <c r="N98" s="21"/>
      <c r="O98" s="23">
        <v>11.6</v>
      </c>
      <c r="P98" s="13"/>
      <c r="Q98" s="23">
        <f>SUM(L98*O98)</f>
        <v>1264.3999999999999</v>
      </c>
      <c r="R98" s="4"/>
      <c r="S98" s="4"/>
      <c r="T98" s="4"/>
      <c r="U98" s="4"/>
    </row>
    <row r="99" spans="1:21" ht="15.75" x14ac:dyDescent="0.25">
      <c r="A99" s="4"/>
      <c r="B99" s="4"/>
      <c r="C99" s="4"/>
      <c r="D99" s="4"/>
      <c r="E99" s="4"/>
      <c r="F99" s="4"/>
      <c r="G99" s="4" t="s">
        <v>109</v>
      </c>
      <c r="H99" s="4"/>
      <c r="I99" s="4"/>
      <c r="J99" s="4"/>
      <c r="K99" s="4"/>
      <c r="L99" s="18"/>
      <c r="M99" s="21"/>
      <c r="N99" s="21"/>
      <c r="O99" s="23"/>
      <c r="P99" s="13"/>
      <c r="Q99" s="23"/>
      <c r="R99" s="4"/>
      <c r="S99" s="4"/>
      <c r="T99" s="4"/>
      <c r="U99" s="4"/>
    </row>
    <row r="100" spans="1:21" ht="16.5" x14ac:dyDescent="0.25">
      <c r="A100" s="4"/>
      <c r="B100" s="4"/>
      <c r="C100" s="4"/>
      <c r="D100" s="4"/>
      <c r="E100" s="4"/>
      <c r="F100" s="4"/>
      <c r="G100" s="4" t="s">
        <v>120</v>
      </c>
      <c r="H100" s="4"/>
      <c r="I100" s="4"/>
      <c r="J100"/>
      <c r="K100"/>
      <c r="L100"/>
      <c r="M100" s="21"/>
      <c r="N100" s="21"/>
      <c r="O100" s="23"/>
      <c r="P100" s="13"/>
      <c r="Q100" s="23"/>
      <c r="R100" s="4"/>
      <c r="S100" s="4"/>
      <c r="T100" s="4"/>
      <c r="U100" s="4"/>
    </row>
    <row r="101" spans="1:21" ht="16.5" x14ac:dyDescent="0.25">
      <c r="A101" s="4"/>
      <c r="B101" s="4"/>
      <c r="C101" s="4"/>
      <c r="D101" s="4"/>
      <c r="E101" s="4"/>
      <c r="F101" s="4"/>
      <c r="G101" s="4" t="s">
        <v>121</v>
      </c>
      <c r="H101" s="4"/>
      <c r="I101" s="4"/>
      <c r="J101"/>
      <c r="K101"/>
      <c r="L101"/>
      <c r="M101" s="21"/>
      <c r="N101" s="21"/>
      <c r="O101" s="23"/>
      <c r="P101" s="13"/>
      <c r="Q101" s="23"/>
      <c r="R101" s="4"/>
      <c r="S101" s="4"/>
      <c r="T101" s="4"/>
      <c r="U101" s="4"/>
    </row>
    <row r="102" spans="1:21" ht="16.5" x14ac:dyDescent="0.25">
      <c r="A102" s="4"/>
      <c r="B102" s="4"/>
      <c r="C102" s="4"/>
      <c r="D102" s="4"/>
      <c r="E102" s="4"/>
      <c r="F102" s="4"/>
      <c r="G102" s="4" t="s">
        <v>122</v>
      </c>
      <c r="H102" s="4"/>
      <c r="I102" s="4"/>
      <c r="J102"/>
      <c r="K102"/>
      <c r="L102"/>
      <c r="M102" s="21"/>
      <c r="N102" s="21"/>
      <c r="O102" s="23"/>
      <c r="P102" s="13"/>
      <c r="Q102" s="23"/>
      <c r="R102" s="4"/>
      <c r="S102" s="4"/>
      <c r="T102" s="4"/>
      <c r="U102" s="4"/>
    </row>
    <row r="103" spans="1:21" ht="15.75" x14ac:dyDescent="0.25">
      <c r="A103" s="4"/>
      <c r="B103" s="4"/>
      <c r="C103" s="4"/>
      <c r="D103" s="4"/>
      <c r="E103" s="4"/>
      <c r="F103" s="4"/>
      <c r="G103" s="4" t="s">
        <v>66</v>
      </c>
      <c r="H103" s="4"/>
      <c r="I103" s="4"/>
      <c r="J103" s="4"/>
      <c r="K103" s="4"/>
      <c r="L103" s="18"/>
      <c r="M103" s="21"/>
      <c r="N103" s="21"/>
      <c r="O103" s="23"/>
      <c r="P103" s="13"/>
      <c r="Q103" s="23"/>
      <c r="R103" s="4"/>
      <c r="S103" s="4"/>
      <c r="T103" s="4"/>
      <c r="U103" s="4"/>
    </row>
    <row r="104" spans="1:21" ht="15.75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18"/>
      <c r="M104" s="21"/>
      <c r="N104" s="21"/>
      <c r="O104" s="23"/>
      <c r="P104" s="13"/>
      <c r="Q104" s="23"/>
      <c r="R104" s="4"/>
      <c r="S104" s="4"/>
      <c r="T104" s="4"/>
      <c r="U104" s="4"/>
    </row>
    <row r="105" spans="1:21" ht="15.75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18"/>
      <c r="M105" s="21"/>
      <c r="N105" s="21"/>
      <c r="O105" s="23"/>
      <c r="P105" s="13"/>
      <c r="Q105" s="23"/>
      <c r="R105" s="4"/>
      <c r="S105" s="4"/>
      <c r="T105" s="4"/>
      <c r="U105" s="4"/>
    </row>
    <row r="106" spans="1:21" ht="15.75" x14ac:dyDescent="0.25">
      <c r="A106" s="4"/>
      <c r="B106" s="4"/>
      <c r="C106" s="4"/>
      <c r="D106" s="4"/>
      <c r="E106" s="4"/>
      <c r="F106" s="4" t="s">
        <v>101</v>
      </c>
      <c r="G106" s="4" t="s">
        <v>103</v>
      </c>
      <c r="H106" s="4"/>
      <c r="I106" s="4"/>
      <c r="J106" s="4"/>
      <c r="K106" s="4"/>
      <c r="L106" s="18">
        <v>305</v>
      </c>
      <c r="M106" s="21" t="s">
        <v>9</v>
      </c>
      <c r="N106" s="21"/>
      <c r="O106" s="23">
        <v>13.85</v>
      </c>
      <c r="P106" s="13"/>
      <c r="Q106" s="23">
        <f>SUM(L106*O106)</f>
        <v>4224.25</v>
      </c>
      <c r="R106" s="4"/>
      <c r="S106" s="4"/>
      <c r="T106" s="4"/>
      <c r="U106" s="4"/>
    </row>
    <row r="107" spans="1:21" ht="15.75" x14ac:dyDescent="0.25">
      <c r="A107" s="4"/>
      <c r="B107" s="4"/>
      <c r="C107" s="4"/>
      <c r="D107" s="4"/>
      <c r="E107" s="4"/>
      <c r="F107" s="4"/>
      <c r="G107" s="4" t="s">
        <v>107</v>
      </c>
      <c r="H107" s="4"/>
      <c r="I107" s="4"/>
      <c r="J107" s="4"/>
      <c r="K107" s="4"/>
      <c r="L107" s="18"/>
      <c r="M107" s="21"/>
      <c r="N107" s="21"/>
      <c r="O107" s="23"/>
      <c r="P107" s="13"/>
      <c r="Q107" s="23"/>
      <c r="R107" s="4"/>
      <c r="S107" s="4"/>
      <c r="T107" s="4"/>
      <c r="U107" s="4"/>
    </row>
    <row r="108" spans="1:21" ht="15.75" x14ac:dyDescent="0.25">
      <c r="A108" s="4"/>
      <c r="B108" s="4"/>
      <c r="C108" s="4"/>
      <c r="D108" s="4"/>
      <c r="E108" s="4"/>
      <c r="F108" s="4"/>
      <c r="G108" s="4" t="s">
        <v>68</v>
      </c>
      <c r="H108" s="4"/>
      <c r="I108" s="4"/>
      <c r="J108" s="4"/>
      <c r="K108" s="4"/>
      <c r="L108" s="18"/>
      <c r="M108" s="21"/>
      <c r="N108" s="21"/>
      <c r="O108" s="23"/>
      <c r="P108" s="13"/>
      <c r="Q108" s="23"/>
      <c r="R108" s="4"/>
      <c r="S108" s="4"/>
      <c r="T108" s="4"/>
      <c r="U108" s="4"/>
    </row>
    <row r="109" spans="1:21" ht="15.75" x14ac:dyDescent="0.25">
      <c r="A109" s="4"/>
      <c r="B109" s="4"/>
      <c r="C109" s="4"/>
      <c r="D109" s="4"/>
      <c r="E109" s="4"/>
      <c r="F109" s="4"/>
      <c r="G109" s="4" t="s">
        <v>117</v>
      </c>
      <c r="H109" s="4"/>
      <c r="I109" s="4"/>
      <c r="J109" s="4"/>
      <c r="K109" s="4"/>
      <c r="L109" s="18"/>
      <c r="M109" s="21"/>
      <c r="N109" s="21"/>
      <c r="O109" s="23"/>
      <c r="P109" s="13"/>
      <c r="Q109" s="23"/>
      <c r="R109" s="4"/>
      <c r="S109" s="4"/>
      <c r="T109" s="4"/>
      <c r="U109" s="4"/>
    </row>
    <row r="110" spans="1:21" ht="15.75" x14ac:dyDescent="0.25">
      <c r="A110" s="4"/>
      <c r="B110" s="4"/>
      <c r="C110" s="4"/>
      <c r="D110" s="4"/>
      <c r="E110" s="4"/>
      <c r="F110" s="4"/>
      <c r="G110" s="4" t="s">
        <v>60</v>
      </c>
      <c r="H110" s="4"/>
      <c r="I110" s="4"/>
      <c r="J110" s="4"/>
      <c r="K110" s="4"/>
      <c r="L110" s="18"/>
      <c r="M110" s="21"/>
      <c r="N110" s="21"/>
      <c r="O110" s="23"/>
      <c r="P110" s="13"/>
      <c r="Q110" s="23"/>
      <c r="R110" s="4"/>
      <c r="S110" s="4"/>
      <c r="T110" s="4"/>
      <c r="U110" s="4"/>
    </row>
    <row r="111" spans="1:21" ht="15.75" x14ac:dyDescent="0.25">
      <c r="A111" s="4"/>
      <c r="B111" s="4"/>
      <c r="C111" s="4"/>
      <c r="D111" s="4"/>
      <c r="E111" s="4"/>
      <c r="F111" s="4"/>
      <c r="G111" s="4" t="s">
        <v>66</v>
      </c>
      <c r="H111" s="4"/>
      <c r="I111" s="4"/>
      <c r="J111" s="4"/>
      <c r="K111" s="4"/>
      <c r="L111" s="18"/>
      <c r="M111" s="21"/>
      <c r="N111" s="21"/>
      <c r="O111" s="23"/>
      <c r="P111" s="13"/>
      <c r="Q111" s="23"/>
      <c r="R111" s="4"/>
      <c r="S111" s="4"/>
      <c r="T111" s="4"/>
      <c r="U111" s="4"/>
    </row>
    <row r="112" spans="1:21" ht="15.75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18"/>
      <c r="M112" s="21"/>
      <c r="N112" s="21"/>
      <c r="O112" s="23"/>
      <c r="P112" s="13"/>
      <c r="Q112" s="23"/>
      <c r="R112" s="4"/>
      <c r="S112" s="4"/>
      <c r="T112" s="4"/>
      <c r="U112" s="4"/>
    </row>
    <row r="113" spans="1:21" ht="15.75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18"/>
      <c r="M113" s="21"/>
      <c r="N113" s="21"/>
      <c r="O113" s="23"/>
      <c r="P113" s="13"/>
      <c r="Q113" s="23"/>
      <c r="R113" s="4"/>
      <c r="S113" s="4"/>
      <c r="T113" s="4"/>
      <c r="U113" s="4"/>
    </row>
    <row r="114" spans="1:21" ht="15.75" x14ac:dyDescent="0.25">
      <c r="A114" s="4"/>
      <c r="B114" s="4"/>
      <c r="C114" s="4"/>
      <c r="D114" s="4"/>
      <c r="E114" s="4"/>
      <c r="F114" s="4" t="s">
        <v>102</v>
      </c>
      <c r="G114" s="4" t="s">
        <v>103</v>
      </c>
      <c r="H114" s="4"/>
      <c r="I114" s="4"/>
      <c r="J114" s="4"/>
      <c r="K114" s="4"/>
      <c r="L114" s="18">
        <v>308</v>
      </c>
      <c r="M114" s="21" t="s">
        <v>9</v>
      </c>
      <c r="N114" s="21"/>
      <c r="O114" s="23">
        <v>13.85</v>
      </c>
      <c r="P114" s="13"/>
      <c r="Q114" s="23">
        <f>SUM(L114*O114)</f>
        <v>4265.8</v>
      </c>
      <c r="R114" s="4"/>
      <c r="S114" s="4"/>
      <c r="T114" s="4"/>
      <c r="U114" s="4"/>
    </row>
    <row r="115" spans="1:21" ht="15.75" x14ac:dyDescent="0.25">
      <c r="A115" s="4"/>
      <c r="B115" s="4"/>
      <c r="C115" s="4"/>
      <c r="D115" s="4"/>
      <c r="E115" s="4"/>
      <c r="F115" s="4"/>
      <c r="G115" s="4" t="s">
        <v>104</v>
      </c>
      <c r="H115" s="4"/>
      <c r="I115" s="4"/>
      <c r="J115" s="4"/>
      <c r="K115" s="4"/>
      <c r="L115" s="18"/>
      <c r="M115" s="21"/>
      <c r="N115" s="21"/>
      <c r="O115" s="23"/>
      <c r="P115" s="13"/>
      <c r="Q115" s="23"/>
      <c r="R115" s="4"/>
      <c r="S115" s="4"/>
      <c r="T115" s="4"/>
      <c r="U115" s="4"/>
    </row>
    <row r="116" spans="1:21" ht="15.75" x14ac:dyDescent="0.25">
      <c r="A116" s="4"/>
      <c r="B116" s="4"/>
      <c r="C116" s="4"/>
      <c r="D116" s="4"/>
      <c r="E116" s="4"/>
      <c r="F116" s="4"/>
      <c r="G116" s="4" t="s">
        <v>68</v>
      </c>
      <c r="H116" s="4"/>
      <c r="I116" s="4"/>
      <c r="J116" s="4"/>
      <c r="K116" s="4"/>
      <c r="L116" s="18"/>
      <c r="M116" s="21"/>
      <c r="N116" s="21"/>
      <c r="O116" s="23"/>
      <c r="P116" s="13"/>
      <c r="Q116" s="23"/>
      <c r="R116" s="4"/>
      <c r="S116" s="4"/>
      <c r="T116" s="4"/>
      <c r="U116" s="4"/>
    </row>
    <row r="117" spans="1:21" ht="15.75" x14ac:dyDescent="0.25">
      <c r="A117" s="4"/>
      <c r="B117" s="4"/>
      <c r="C117" s="4"/>
      <c r="D117" s="4"/>
      <c r="E117" s="4"/>
      <c r="F117" s="4"/>
      <c r="G117" s="4" t="s">
        <v>119</v>
      </c>
      <c r="H117" s="4"/>
      <c r="I117" s="4"/>
      <c r="J117" s="4"/>
      <c r="K117" s="4"/>
      <c r="L117" s="18"/>
      <c r="M117" s="21"/>
      <c r="N117" s="21"/>
      <c r="O117" s="23"/>
      <c r="P117" s="13"/>
      <c r="Q117" s="23"/>
      <c r="R117" s="4"/>
      <c r="S117" s="4"/>
      <c r="T117" s="4"/>
      <c r="U117" s="4"/>
    </row>
    <row r="118" spans="1:21" ht="15.75" x14ac:dyDescent="0.25">
      <c r="A118" s="4"/>
      <c r="B118" s="4"/>
      <c r="C118" s="4"/>
      <c r="D118" s="4"/>
      <c r="E118" s="4"/>
      <c r="F118" s="4"/>
      <c r="G118" s="4" t="s">
        <v>60</v>
      </c>
      <c r="H118" s="4"/>
      <c r="I118" s="4"/>
      <c r="J118" s="4"/>
      <c r="K118" s="4"/>
      <c r="L118" s="18"/>
      <c r="M118" s="21"/>
      <c r="N118" s="21"/>
      <c r="O118" s="23"/>
      <c r="P118" s="13"/>
      <c r="Q118" s="23"/>
      <c r="R118" s="4"/>
      <c r="S118" s="4"/>
      <c r="T118" s="4"/>
      <c r="U118" s="4"/>
    </row>
    <row r="119" spans="1:21" ht="15.75" x14ac:dyDescent="0.25">
      <c r="A119" s="4"/>
      <c r="B119" s="4"/>
      <c r="C119" s="4"/>
      <c r="D119" s="4"/>
      <c r="E119" s="4"/>
      <c r="F119" s="4"/>
      <c r="G119" s="4" t="s">
        <v>66</v>
      </c>
      <c r="H119" s="4"/>
      <c r="I119" s="4"/>
      <c r="J119" s="4"/>
      <c r="K119" s="4"/>
      <c r="L119" s="18"/>
      <c r="M119" s="21"/>
      <c r="N119" s="21"/>
      <c r="O119" s="23"/>
      <c r="P119" s="13"/>
      <c r="Q119" s="23"/>
      <c r="R119" s="4"/>
      <c r="S119" s="4"/>
      <c r="T119" s="4"/>
      <c r="U119" s="4"/>
    </row>
    <row r="120" spans="1:21" ht="15.75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18"/>
      <c r="M120" s="21"/>
      <c r="N120" s="21"/>
      <c r="O120" s="23"/>
      <c r="P120" s="13"/>
      <c r="Q120" s="23"/>
      <c r="R120" s="4"/>
      <c r="S120" s="4"/>
      <c r="T120" s="4"/>
      <c r="U120" s="4"/>
    </row>
    <row r="121" spans="1:21" ht="15.75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18"/>
      <c r="M121" s="21"/>
      <c r="N121" s="21"/>
      <c r="O121" s="23"/>
      <c r="P121" s="13"/>
      <c r="Q121" s="23"/>
      <c r="R121" s="4"/>
      <c r="S121" s="4"/>
      <c r="T121" s="4"/>
      <c r="U121" s="4"/>
    </row>
    <row r="122" spans="1:21" ht="15.75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22"/>
      <c r="M122" s="22"/>
      <c r="N122" s="22"/>
      <c r="O122" s="22"/>
      <c r="P122" s="22"/>
      <c r="Q122" s="22"/>
      <c r="R122" s="4"/>
      <c r="S122" s="4"/>
      <c r="T122" s="4"/>
      <c r="U122" s="4"/>
    </row>
    <row r="123" spans="1:21" ht="15.75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14">
        <v>6387</v>
      </c>
      <c r="M123" s="21" t="s">
        <v>9</v>
      </c>
      <c r="N123" s="9"/>
      <c r="O123" s="9"/>
      <c r="P123" s="9"/>
      <c r="Q123" s="25">
        <v>87803.62</v>
      </c>
      <c r="R123" s="4"/>
      <c r="S123" s="4"/>
      <c r="T123" s="4"/>
      <c r="U123" s="4"/>
    </row>
    <row r="124" spans="1:21" ht="15.75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24" t="s">
        <v>69</v>
      </c>
      <c r="M124" s="4" t="s">
        <v>70</v>
      </c>
      <c r="N124" s="9"/>
      <c r="O124" s="9"/>
      <c r="P124" s="24" t="s">
        <v>70</v>
      </c>
      <c r="Q124" s="24" t="s">
        <v>71</v>
      </c>
      <c r="R124" s="4"/>
      <c r="S124" s="4"/>
      <c r="T124" s="4"/>
      <c r="U124" s="4"/>
    </row>
    <row r="125" spans="1:21" ht="15.75" x14ac:dyDescent="0.25">
      <c r="A125" s="4"/>
      <c r="B125" s="9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ht="16.5" x14ac:dyDescent="0.25">
      <c r="A126" s="4"/>
      <c r="B126"/>
      <c r="C126" t="s">
        <v>127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ht="15.75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ht="15.75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9"/>
      <c r="O128" s="4" t="s">
        <v>1</v>
      </c>
      <c r="P128" s="9"/>
      <c r="Q128" s="9"/>
      <c r="R128" s="9"/>
      <c r="S128" s="9"/>
      <c r="T128" s="9"/>
      <c r="U128" s="9"/>
    </row>
    <row r="129" spans="1:21" ht="16.5" thickBo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9"/>
      <c r="O129" s="17"/>
      <c r="P129" s="17"/>
      <c r="Q129" s="17"/>
      <c r="R129" s="17"/>
      <c r="S129" s="17"/>
      <c r="T129" s="17"/>
      <c r="U129" s="17"/>
    </row>
    <row r="130" spans="1:21" ht="15.75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</sheetData>
  <mergeCells count="25">
    <mergeCell ref="A14:D14"/>
    <mergeCell ref="A3:I3"/>
    <mergeCell ref="J3:Q3"/>
    <mergeCell ref="P14:Q14"/>
    <mergeCell ref="K11:Q11"/>
    <mergeCell ref="K14:L14"/>
    <mergeCell ref="I12:K12"/>
    <mergeCell ref="N14:O14"/>
    <mergeCell ref="E14:J14"/>
    <mergeCell ref="A11:C11"/>
    <mergeCell ref="D11:I11"/>
    <mergeCell ref="N12:Q12"/>
    <mergeCell ref="A12:D12"/>
    <mergeCell ref="E12:G12"/>
    <mergeCell ref="A1:Q1"/>
    <mergeCell ref="A2:Q2"/>
    <mergeCell ref="A4:Q4"/>
    <mergeCell ref="A9:Q10"/>
    <mergeCell ref="A8:F8"/>
    <mergeCell ref="A7:D7"/>
    <mergeCell ref="L6:N6"/>
    <mergeCell ref="O6:Q6"/>
    <mergeCell ref="G8:Q8"/>
    <mergeCell ref="B6:G6"/>
    <mergeCell ref="E7:Q7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scale="50" fitToHeight="0" orientation="portrait" r:id="rId1"/>
  <headerFooter alignWithMargins="0">
    <oddFooter>&amp;C&amp;"Times New Roman,標準"PAGE&amp;"新細明體,標準":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443"/>
  <sheetViews>
    <sheetView tabSelected="1" topLeftCell="A5" zoomScaleNormal="100" workbookViewId="0">
      <selection activeCell="A152" sqref="A152:XFD152"/>
    </sheetView>
  </sheetViews>
  <sheetFormatPr defaultRowHeight="14.25" x14ac:dyDescent="0.25"/>
  <cols>
    <col min="1" max="2" width="4.125" style="1" customWidth="1"/>
    <col min="3" max="3" width="3.125" style="1" customWidth="1"/>
    <col min="4" max="4" width="10.125" style="1" customWidth="1"/>
    <col min="5" max="5" width="24.875" style="1" customWidth="1"/>
    <col min="6" max="6" width="10.5" style="1" customWidth="1"/>
    <col min="7" max="7" width="9.875" style="1" customWidth="1"/>
    <col min="8" max="8" width="6.625" style="1" customWidth="1"/>
    <col min="9" max="9" width="7.875" style="1" customWidth="1"/>
    <col min="10" max="10" width="8.125" style="1" customWidth="1"/>
    <col min="11" max="11" width="8.875" style="1" customWidth="1"/>
    <col min="12" max="12" width="10.5" style="1" customWidth="1"/>
    <col min="13" max="13" width="11" style="1" customWidth="1"/>
    <col min="14" max="14" width="11.125" style="1" customWidth="1"/>
    <col min="15" max="15" width="11.375" style="1" customWidth="1"/>
    <col min="16" max="16" width="8.125" style="1" customWidth="1"/>
    <col min="17" max="17" width="4.125" style="1" customWidth="1"/>
    <col min="18" max="18" width="5" style="1" customWidth="1"/>
    <col min="19" max="19" width="8.125" style="1" customWidth="1"/>
    <col min="20" max="20" width="4.125" style="1" customWidth="1"/>
    <col min="21" max="16384" width="9" style="1"/>
  </cols>
  <sheetData>
    <row r="1" spans="1:20" ht="18.75" x14ac:dyDescent="0.25">
      <c r="A1" s="33" t="s">
        <v>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4"/>
    </row>
    <row r="2" spans="1:20" ht="32.25" customHeight="1" x14ac:dyDescent="0.25">
      <c r="A2" s="35" t="s">
        <v>24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</row>
    <row r="3" spans="1:20" ht="15" x14ac:dyDescent="0.25">
      <c r="A3" s="36"/>
      <c r="B3" s="36"/>
      <c r="C3" s="36"/>
      <c r="D3" s="36"/>
      <c r="E3" s="36"/>
      <c r="F3" s="36"/>
      <c r="G3" s="36"/>
      <c r="H3" s="36"/>
      <c r="I3" s="36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</row>
    <row r="4" spans="1:20" ht="18.75" x14ac:dyDescent="0.25">
      <c r="A4" s="38" t="s">
        <v>53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</row>
    <row r="5" spans="1:20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ht="15" x14ac:dyDescent="0.25">
      <c r="A6" s="3" t="s">
        <v>23</v>
      </c>
      <c r="B6" s="49" t="s">
        <v>84</v>
      </c>
      <c r="C6" s="50"/>
      <c r="D6" s="50"/>
      <c r="E6" s="50"/>
      <c r="F6" s="50"/>
      <c r="N6" s="47" t="s">
        <v>22</v>
      </c>
      <c r="O6" s="61"/>
      <c r="P6" s="49" t="s">
        <v>83</v>
      </c>
      <c r="Q6" s="49"/>
      <c r="R6" s="49"/>
      <c r="S6" s="49"/>
      <c r="T6" s="50"/>
    </row>
    <row r="7" spans="1:20" ht="18.75" x14ac:dyDescent="0.25">
      <c r="A7" s="62" t="s">
        <v>21</v>
      </c>
      <c r="B7" s="58"/>
      <c r="C7" s="58"/>
      <c r="D7" s="58"/>
      <c r="E7" s="50" t="s">
        <v>25</v>
      </c>
      <c r="F7" s="50"/>
      <c r="G7" s="50"/>
      <c r="H7" s="50"/>
      <c r="I7" s="50"/>
      <c r="J7" s="50"/>
      <c r="K7" s="50"/>
      <c r="L7" s="50"/>
      <c r="M7" s="50"/>
      <c r="N7" s="63" t="s">
        <v>20</v>
      </c>
      <c r="O7" s="58"/>
      <c r="P7" s="58"/>
      <c r="Q7" s="58"/>
      <c r="R7" s="58"/>
      <c r="S7" s="58"/>
      <c r="T7" s="58"/>
    </row>
    <row r="8" spans="1:20" ht="15" x14ac:dyDescent="0.25">
      <c r="A8" s="47" t="s">
        <v>19</v>
      </c>
      <c r="B8" s="48"/>
      <c r="C8" s="48"/>
      <c r="D8" s="48"/>
      <c r="E8" s="48"/>
      <c r="F8" s="49" t="s">
        <v>4</v>
      </c>
      <c r="G8" s="49"/>
      <c r="H8" s="49"/>
      <c r="I8" s="49"/>
      <c r="J8" s="49"/>
      <c r="K8" s="49"/>
      <c r="L8" s="50"/>
      <c r="M8" s="50"/>
      <c r="N8" s="51" t="s">
        <v>27</v>
      </c>
      <c r="O8" s="52"/>
      <c r="P8" s="52"/>
      <c r="Q8" s="52"/>
      <c r="R8" s="52"/>
      <c r="S8" s="52"/>
      <c r="T8" s="52"/>
    </row>
    <row r="9" spans="1:20" x14ac:dyDescent="0.25">
      <c r="A9" s="54" t="s">
        <v>5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2"/>
      <c r="O9" s="52"/>
      <c r="P9" s="52"/>
      <c r="Q9" s="52"/>
      <c r="R9" s="52"/>
      <c r="S9" s="52"/>
      <c r="T9" s="52"/>
    </row>
    <row r="10" spans="1:20" x14ac:dyDescent="0.25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2"/>
      <c r="O10" s="52"/>
      <c r="P10" s="52"/>
      <c r="Q10" s="52"/>
      <c r="R10" s="52"/>
      <c r="S10" s="52"/>
      <c r="T10" s="52"/>
    </row>
    <row r="11" spans="1:20" ht="15" x14ac:dyDescent="0.25">
      <c r="A11" s="56" t="s">
        <v>18</v>
      </c>
      <c r="B11" s="56"/>
      <c r="C11" s="56"/>
      <c r="D11" s="57" t="s">
        <v>1</v>
      </c>
      <c r="E11" s="57"/>
      <c r="F11" s="57"/>
      <c r="G11" s="57"/>
      <c r="H11" s="57"/>
      <c r="I11" s="57"/>
      <c r="J11" s="57"/>
      <c r="K11" s="57"/>
      <c r="L11" s="57"/>
      <c r="M11" s="57"/>
      <c r="N11" s="52"/>
      <c r="O11" s="52"/>
      <c r="P11" s="52"/>
      <c r="Q11" s="52"/>
      <c r="R11" s="52"/>
      <c r="S11" s="52"/>
      <c r="T11" s="52"/>
    </row>
    <row r="12" spans="1:20" ht="16.5" x14ac:dyDescent="0.25">
      <c r="A12" s="47" t="s">
        <v>17</v>
      </c>
      <c r="B12" s="58"/>
      <c r="C12" s="50" t="s">
        <v>56</v>
      </c>
      <c r="D12" s="50"/>
      <c r="E12" s="50"/>
      <c r="F12" s="50"/>
      <c r="G12" s="50"/>
      <c r="H12" s="60"/>
      <c r="I12" s="60"/>
      <c r="J12" s="60"/>
      <c r="K12" s="60"/>
      <c r="L12" s="60"/>
      <c r="M12" s="60"/>
      <c r="N12" s="52"/>
      <c r="O12" s="52"/>
      <c r="P12" s="52"/>
      <c r="Q12" s="52"/>
      <c r="R12" s="52"/>
      <c r="S12" s="52"/>
      <c r="T12" s="52"/>
    </row>
    <row r="13" spans="1:20" ht="16.5" x14ac:dyDescent="0.25">
      <c r="A13" s="47" t="s">
        <v>54</v>
      </c>
      <c r="B13" s="58"/>
      <c r="C13" s="58"/>
      <c r="D13" s="58"/>
      <c r="E13" s="50"/>
      <c r="F13" s="60"/>
      <c r="G13" s="60"/>
      <c r="H13" s="60"/>
      <c r="I13" s="60"/>
      <c r="J13" s="60"/>
      <c r="K13" s="60"/>
      <c r="L13" s="60"/>
      <c r="M13" s="60"/>
      <c r="N13" s="52"/>
      <c r="O13" s="52"/>
      <c r="P13" s="52"/>
      <c r="Q13" s="52"/>
      <c r="R13" s="52"/>
      <c r="S13" s="52"/>
      <c r="T13" s="52"/>
    </row>
    <row r="14" spans="1:20" ht="15" x14ac:dyDescent="0.25">
      <c r="A14" s="47" t="s">
        <v>55</v>
      </c>
      <c r="B14" s="48"/>
      <c r="C14" s="49" t="s">
        <v>58</v>
      </c>
      <c r="D14" s="50"/>
      <c r="E14" s="50"/>
      <c r="F14" s="50"/>
      <c r="G14" s="6" t="s">
        <v>16</v>
      </c>
      <c r="H14" s="50" t="s">
        <v>59</v>
      </c>
      <c r="I14" s="50"/>
      <c r="J14" s="50"/>
      <c r="K14" s="50"/>
      <c r="L14" s="50"/>
      <c r="M14" s="50"/>
      <c r="N14" s="52"/>
      <c r="O14" s="52"/>
      <c r="P14" s="52"/>
      <c r="Q14" s="52"/>
      <c r="R14" s="52"/>
      <c r="S14" s="52"/>
      <c r="T14" s="52"/>
    </row>
    <row r="15" spans="1:20" ht="25.5" customHeight="1" thickBot="1" x14ac:dyDescent="0.3">
      <c r="L15" s="5"/>
      <c r="M15" s="5"/>
      <c r="N15" s="53"/>
      <c r="O15" s="53"/>
      <c r="P15" s="53"/>
      <c r="Q15" s="53"/>
      <c r="R15" s="53"/>
      <c r="S15" s="53"/>
      <c r="T15" s="53"/>
    </row>
    <row r="16" spans="1:20" ht="17.25" thickTop="1" x14ac:dyDescent="0.25">
      <c r="A16" s="42" t="s">
        <v>15</v>
      </c>
      <c r="B16" s="40"/>
      <c r="C16" s="41"/>
      <c r="D16" s="39" t="s">
        <v>14</v>
      </c>
      <c r="E16" s="40"/>
      <c r="F16" s="40"/>
      <c r="G16" s="40"/>
      <c r="H16" s="41"/>
      <c r="I16" s="39" t="s">
        <v>13</v>
      </c>
      <c r="J16" s="42"/>
      <c r="K16" s="43"/>
      <c r="L16" s="39" t="s">
        <v>12</v>
      </c>
      <c r="M16" s="44"/>
      <c r="N16" s="45"/>
      <c r="O16" s="46" t="s">
        <v>11</v>
      </c>
      <c r="P16" s="44"/>
      <c r="Q16" s="45"/>
      <c r="R16" s="39" t="s">
        <v>10</v>
      </c>
      <c r="S16" s="42"/>
      <c r="T16" s="59"/>
    </row>
    <row r="17" spans="4:16" x14ac:dyDescent="0.25">
      <c r="D17" s="1" t="s">
        <v>7</v>
      </c>
    </row>
    <row r="18" spans="4:16" ht="15.75" x14ac:dyDescent="0.25">
      <c r="D18" s="4" t="s">
        <v>8</v>
      </c>
    </row>
    <row r="19" spans="4:16" ht="15.75" x14ac:dyDescent="0.25">
      <c r="D19" s="4" t="s">
        <v>61</v>
      </c>
      <c r="E19" s="4" t="s">
        <v>78</v>
      </c>
      <c r="F19" s="4"/>
      <c r="G19" s="4"/>
      <c r="K19" s="129">
        <v>2433</v>
      </c>
      <c r="L19" s="320" t="s">
        <v>143</v>
      </c>
      <c r="M19" s="129">
        <v>1014.35</v>
      </c>
      <c r="N19" s="320" t="s">
        <v>144</v>
      </c>
      <c r="O19" s="129">
        <v>1134.3499999999999</v>
      </c>
      <c r="P19" s="320" t="s">
        <v>144</v>
      </c>
    </row>
    <row r="20" spans="4:16" ht="15.75" x14ac:dyDescent="0.25">
      <c r="D20" s="4"/>
      <c r="E20" s="4" t="s">
        <v>72</v>
      </c>
      <c r="F20" s="4"/>
      <c r="G20" s="4"/>
    </row>
    <row r="21" spans="4:16" ht="15.75" x14ac:dyDescent="0.25">
      <c r="D21" s="4"/>
      <c r="E21" s="4" t="s">
        <v>75</v>
      </c>
      <c r="F21" s="9"/>
      <c r="G21" s="4"/>
    </row>
    <row r="22" spans="4:16" ht="15.75" x14ac:dyDescent="0.25">
      <c r="D22" s="4"/>
      <c r="E22" s="4" t="s">
        <v>74</v>
      </c>
      <c r="F22" s="9"/>
      <c r="G22" s="4"/>
    </row>
    <row r="23" spans="4:16" ht="15.75" x14ac:dyDescent="0.25">
      <c r="D23" s="4"/>
      <c r="E23" s="4" t="s">
        <v>85</v>
      </c>
      <c r="F23" s="4"/>
      <c r="G23" s="4"/>
    </row>
    <row r="24" spans="4:16" ht="16.5" thickBot="1" x14ac:dyDescent="0.3">
      <c r="D24" s="4"/>
      <c r="E24" s="4" t="s">
        <v>86</v>
      </c>
      <c r="F24" s="4"/>
      <c r="G24" s="4"/>
    </row>
    <row r="25" spans="4:16" s="318" customFormat="1" ht="16.5" x14ac:dyDescent="0.25">
      <c r="D25" s="319"/>
      <c r="E25" s="122" t="s">
        <v>129</v>
      </c>
      <c r="F25" s="175" t="s">
        <v>130</v>
      </c>
      <c r="G25" s="167" t="s">
        <v>131</v>
      </c>
      <c r="H25" s="167" t="s">
        <v>132</v>
      </c>
      <c r="I25" s="167" t="s">
        <v>133</v>
      </c>
      <c r="J25" s="167" t="s">
        <v>134</v>
      </c>
      <c r="K25" s="167" t="s">
        <v>135</v>
      </c>
      <c r="L25" s="167" t="s">
        <v>136</v>
      </c>
      <c r="M25" s="159" t="s">
        <v>137</v>
      </c>
      <c r="N25" s="189" t="s">
        <v>138</v>
      </c>
      <c r="O25" s="208" t="s">
        <v>139</v>
      </c>
    </row>
    <row r="26" spans="4:16" s="318" customFormat="1" ht="15.75" x14ac:dyDescent="0.25">
      <c r="D26" s="319"/>
      <c r="E26" s="250"/>
      <c r="F26" s="275"/>
      <c r="G26" s="154"/>
      <c r="H26" s="154"/>
      <c r="I26" s="154"/>
      <c r="J26" s="154"/>
      <c r="K26" s="154"/>
      <c r="L26" s="154"/>
      <c r="M26" s="172" t="s">
        <v>140</v>
      </c>
      <c r="N26" s="286" t="s">
        <v>26</v>
      </c>
      <c r="O26" s="242" t="s">
        <v>26</v>
      </c>
    </row>
    <row r="27" spans="4:16" s="318" customFormat="1" ht="19.5" hidden="1" x14ac:dyDescent="0.25">
      <c r="D27" s="319"/>
      <c r="E27" s="107"/>
      <c r="F27" s="315"/>
      <c r="G27" s="137">
        <v>0.3</v>
      </c>
      <c r="H27" s="137">
        <v>0.35</v>
      </c>
      <c r="I27" s="137">
        <v>0.4</v>
      </c>
      <c r="J27" s="137">
        <v>0.45</v>
      </c>
      <c r="K27" s="137">
        <v>0.5</v>
      </c>
      <c r="L27" s="219">
        <v>0.55000000000000004</v>
      </c>
      <c r="M27" s="315"/>
      <c r="N27" s="219"/>
      <c r="O27" s="147"/>
    </row>
    <row r="28" spans="4:16" s="318" customFormat="1" ht="19.5" x14ac:dyDescent="0.25">
      <c r="D28" s="319"/>
      <c r="E28" s="107">
        <v>1</v>
      </c>
      <c r="F28" s="219" t="s">
        <v>141</v>
      </c>
      <c r="G28" s="137"/>
      <c r="H28" s="137"/>
      <c r="I28" s="137">
        <v>7</v>
      </c>
      <c r="J28" s="137">
        <v>2</v>
      </c>
      <c r="K28" s="137">
        <v>15</v>
      </c>
      <c r="L28" s="219"/>
      <c r="M28" s="219">
        <v>24</v>
      </c>
      <c r="N28" s="219">
        <v>11.2</v>
      </c>
      <c r="O28" s="147">
        <v>12.2</v>
      </c>
    </row>
    <row r="29" spans="4:16" s="318" customFormat="1" ht="19.5" x14ac:dyDescent="0.25">
      <c r="D29" s="319"/>
      <c r="E29" s="107">
        <v>2</v>
      </c>
      <c r="F29" s="219" t="s">
        <v>141</v>
      </c>
      <c r="G29" s="137"/>
      <c r="H29" s="137">
        <v>2</v>
      </c>
      <c r="I29" s="137"/>
      <c r="J29" s="137"/>
      <c r="K29" s="137"/>
      <c r="L29" s="219">
        <v>19</v>
      </c>
      <c r="M29" s="219">
        <v>21</v>
      </c>
      <c r="N29" s="219">
        <v>11.15</v>
      </c>
      <c r="O29" s="147">
        <v>12.15</v>
      </c>
    </row>
    <row r="30" spans="4:16" s="318" customFormat="1" ht="19.5" x14ac:dyDescent="0.25">
      <c r="D30" s="319"/>
      <c r="E30" s="107">
        <v>3</v>
      </c>
      <c r="F30" s="219" t="s">
        <v>141</v>
      </c>
      <c r="G30" s="137">
        <v>20</v>
      </c>
      <c r="H30" s="137"/>
      <c r="I30" s="137"/>
      <c r="J30" s="137"/>
      <c r="K30" s="137"/>
      <c r="L30" s="219"/>
      <c r="M30" s="219">
        <v>20</v>
      </c>
      <c r="N30" s="219">
        <v>6</v>
      </c>
      <c r="O30" s="147">
        <v>7</v>
      </c>
    </row>
    <row r="31" spans="4:16" s="318" customFormat="1" ht="19.5" x14ac:dyDescent="0.25">
      <c r="D31" s="319"/>
      <c r="E31" s="107">
        <v>4</v>
      </c>
      <c r="F31" s="219" t="s">
        <v>141</v>
      </c>
      <c r="G31" s="137">
        <v>20</v>
      </c>
      <c r="H31" s="137"/>
      <c r="I31" s="137"/>
      <c r="J31" s="137"/>
      <c r="K31" s="137"/>
      <c r="L31" s="219"/>
      <c r="M31" s="219">
        <v>20</v>
      </c>
      <c r="N31" s="219">
        <v>6</v>
      </c>
      <c r="O31" s="147">
        <v>7</v>
      </c>
    </row>
    <row r="32" spans="4:16" s="318" customFormat="1" ht="19.5" x14ac:dyDescent="0.25">
      <c r="D32" s="319"/>
      <c r="E32" s="107">
        <v>5</v>
      </c>
      <c r="F32" s="219" t="s">
        <v>141</v>
      </c>
      <c r="G32" s="137">
        <v>21</v>
      </c>
      <c r="H32" s="137"/>
      <c r="I32" s="137"/>
      <c r="J32" s="137"/>
      <c r="K32" s="137"/>
      <c r="L32" s="219"/>
      <c r="M32" s="219">
        <v>21</v>
      </c>
      <c r="N32" s="219">
        <v>6.3</v>
      </c>
      <c r="O32" s="147">
        <v>7.3</v>
      </c>
    </row>
    <row r="33" spans="4:15" s="318" customFormat="1" ht="19.5" x14ac:dyDescent="0.25">
      <c r="D33" s="319"/>
      <c r="E33" s="107">
        <v>6</v>
      </c>
      <c r="F33" s="219" t="s">
        <v>141</v>
      </c>
      <c r="G33" s="137"/>
      <c r="H33" s="137">
        <v>20</v>
      </c>
      <c r="I33" s="137"/>
      <c r="J33" s="137"/>
      <c r="K33" s="137"/>
      <c r="L33" s="219"/>
      <c r="M33" s="219">
        <v>20</v>
      </c>
      <c r="N33" s="219">
        <v>7</v>
      </c>
      <c r="O33" s="147">
        <v>8</v>
      </c>
    </row>
    <row r="34" spans="4:15" s="318" customFormat="1" ht="19.5" x14ac:dyDescent="0.25">
      <c r="D34" s="319"/>
      <c r="E34" s="107">
        <v>7</v>
      </c>
      <c r="F34" s="219" t="s">
        <v>141</v>
      </c>
      <c r="G34" s="137"/>
      <c r="H34" s="137">
        <v>20</v>
      </c>
      <c r="I34" s="137"/>
      <c r="J34" s="137"/>
      <c r="K34" s="137"/>
      <c r="L34" s="219"/>
      <c r="M34" s="219">
        <v>20</v>
      </c>
      <c r="N34" s="219">
        <v>7</v>
      </c>
      <c r="O34" s="147">
        <v>8</v>
      </c>
    </row>
    <row r="35" spans="4:15" s="318" customFormat="1" ht="19.5" x14ac:dyDescent="0.25">
      <c r="D35" s="319"/>
      <c r="E35" s="107">
        <v>8</v>
      </c>
      <c r="F35" s="219" t="s">
        <v>141</v>
      </c>
      <c r="G35" s="137"/>
      <c r="H35" s="137">
        <v>20</v>
      </c>
      <c r="I35" s="137"/>
      <c r="J35" s="137"/>
      <c r="K35" s="137"/>
      <c r="L35" s="219"/>
      <c r="M35" s="219">
        <v>20</v>
      </c>
      <c r="N35" s="219">
        <v>7</v>
      </c>
      <c r="O35" s="147">
        <v>8</v>
      </c>
    </row>
    <row r="36" spans="4:15" s="318" customFormat="1" ht="19.5" x14ac:dyDescent="0.25">
      <c r="D36" s="319"/>
      <c r="E36" s="107">
        <v>9</v>
      </c>
      <c r="F36" s="219" t="s">
        <v>141</v>
      </c>
      <c r="G36" s="137"/>
      <c r="H36" s="137">
        <v>20</v>
      </c>
      <c r="I36" s="137"/>
      <c r="J36" s="137"/>
      <c r="K36" s="137"/>
      <c r="L36" s="219"/>
      <c r="M36" s="219">
        <v>20</v>
      </c>
      <c r="N36" s="219">
        <v>7</v>
      </c>
      <c r="O36" s="147">
        <v>8</v>
      </c>
    </row>
    <row r="37" spans="4:15" s="318" customFormat="1" ht="19.5" x14ac:dyDescent="0.25">
      <c r="D37" s="319"/>
      <c r="E37" s="107">
        <v>10</v>
      </c>
      <c r="F37" s="219" t="s">
        <v>141</v>
      </c>
      <c r="G37" s="137"/>
      <c r="H37" s="137">
        <v>20</v>
      </c>
      <c r="I37" s="137"/>
      <c r="J37" s="137"/>
      <c r="K37" s="137"/>
      <c r="L37" s="219"/>
      <c r="M37" s="219">
        <v>20</v>
      </c>
      <c r="N37" s="219">
        <v>7</v>
      </c>
      <c r="O37" s="147">
        <v>8</v>
      </c>
    </row>
    <row r="38" spans="4:15" s="318" customFormat="1" ht="19.5" x14ac:dyDescent="0.25">
      <c r="D38" s="319"/>
      <c r="E38" s="107">
        <v>11</v>
      </c>
      <c r="F38" s="219" t="s">
        <v>141</v>
      </c>
      <c r="G38" s="137"/>
      <c r="H38" s="137">
        <v>20</v>
      </c>
      <c r="I38" s="137"/>
      <c r="J38" s="137"/>
      <c r="K38" s="137"/>
      <c r="L38" s="219"/>
      <c r="M38" s="219">
        <v>20</v>
      </c>
      <c r="N38" s="219">
        <v>7</v>
      </c>
      <c r="O38" s="147">
        <v>8</v>
      </c>
    </row>
    <row r="39" spans="4:15" s="318" customFormat="1" ht="19.5" x14ac:dyDescent="0.25">
      <c r="D39" s="319"/>
      <c r="E39" s="107">
        <v>12</v>
      </c>
      <c r="F39" s="219" t="s">
        <v>141</v>
      </c>
      <c r="G39" s="137"/>
      <c r="H39" s="137">
        <v>20</v>
      </c>
      <c r="I39" s="137"/>
      <c r="J39" s="137"/>
      <c r="K39" s="137"/>
      <c r="L39" s="219"/>
      <c r="M39" s="219">
        <v>20</v>
      </c>
      <c r="N39" s="219">
        <v>7</v>
      </c>
      <c r="O39" s="147">
        <v>8</v>
      </c>
    </row>
    <row r="40" spans="4:15" s="318" customFormat="1" ht="19.5" x14ac:dyDescent="0.25">
      <c r="D40" s="319"/>
      <c r="E40" s="107">
        <v>13</v>
      </c>
      <c r="F40" s="219" t="s">
        <v>141</v>
      </c>
      <c r="G40" s="137"/>
      <c r="H40" s="137">
        <v>20</v>
      </c>
      <c r="I40" s="137"/>
      <c r="J40" s="137"/>
      <c r="K40" s="137"/>
      <c r="L40" s="219"/>
      <c r="M40" s="219">
        <v>20</v>
      </c>
      <c r="N40" s="219">
        <v>7</v>
      </c>
      <c r="O40" s="147">
        <v>8</v>
      </c>
    </row>
    <row r="41" spans="4:15" s="318" customFormat="1" ht="19.5" x14ac:dyDescent="0.25">
      <c r="D41" s="319"/>
      <c r="E41" s="107">
        <v>14</v>
      </c>
      <c r="F41" s="219" t="s">
        <v>141</v>
      </c>
      <c r="G41" s="137"/>
      <c r="H41" s="137">
        <v>20</v>
      </c>
      <c r="I41" s="137"/>
      <c r="J41" s="137"/>
      <c r="K41" s="137"/>
      <c r="L41" s="219"/>
      <c r="M41" s="219">
        <v>20</v>
      </c>
      <c r="N41" s="219">
        <v>7</v>
      </c>
      <c r="O41" s="147">
        <v>8</v>
      </c>
    </row>
    <row r="42" spans="4:15" s="318" customFormat="1" ht="19.5" x14ac:dyDescent="0.25">
      <c r="D42" s="319"/>
      <c r="E42" s="107">
        <v>15</v>
      </c>
      <c r="F42" s="219" t="s">
        <v>141</v>
      </c>
      <c r="G42" s="137"/>
      <c r="H42" s="137">
        <v>20</v>
      </c>
      <c r="I42" s="137"/>
      <c r="J42" s="137"/>
      <c r="K42" s="137"/>
      <c r="L42" s="219"/>
      <c r="M42" s="219">
        <v>20</v>
      </c>
      <c r="N42" s="219">
        <v>7</v>
      </c>
      <c r="O42" s="147">
        <v>8</v>
      </c>
    </row>
    <row r="43" spans="4:15" s="318" customFormat="1" ht="19.5" x14ac:dyDescent="0.25">
      <c r="D43" s="319"/>
      <c r="E43" s="107">
        <v>16</v>
      </c>
      <c r="F43" s="219" t="s">
        <v>141</v>
      </c>
      <c r="G43" s="137"/>
      <c r="H43" s="137">
        <v>20</v>
      </c>
      <c r="I43" s="137"/>
      <c r="J43" s="137"/>
      <c r="K43" s="137"/>
      <c r="L43" s="219"/>
      <c r="M43" s="219">
        <v>20</v>
      </c>
      <c r="N43" s="219">
        <v>7</v>
      </c>
      <c r="O43" s="147">
        <v>8</v>
      </c>
    </row>
    <row r="44" spans="4:15" s="318" customFormat="1" ht="19.5" x14ac:dyDescent="0.25">
      <c r="D44" s="319"/>
      <c r="E44" s="107">
        <v>17</v>
      </c>
      <c r="F44" s="219" t="s">
        <v>141</v>
      </c>
      <c r="G44" s="137"/>
      <c r="H44" s="137">
        <v>20</v>
      </c>
      <c r="I44" s="137"/>
      <c r="J44" s="137"/>
      <c r="K44" s="137"/>
      <c r="L44" s="219"/>
      <c r="M44" s="219">
        <v>20</v>
      </c>
      <c r="N44" s="219">
        <v>7</v>
      </c>
      <c r="O44" s="147">
        <v>8</v>
      </c>
    </row>
    <row r="45" spans="4:15" s="318" customFormat="1" ht="19.5" x14ac:dyDescent="0.25">
      <c r="D45" s="319"/>
      <c r="E45" s="107">
        <v>18</v>
      </c>
      <c r="F45" s="219" t="s">
        <v>141</v>
      </c>
      <c r="G45" s="137"/>
      <c r="H45" s="137">
        <v>23</v>
      </c>
      <c r="I45" s="137"/>
      <c r="J45" s="137"/>
      <c r="K45" s="137"/>
      <c r="L45" s="219"/>
      <c r="M45" s="219">
        <v>23</v>
      </c>
      <c r="N45" s="219">
        <v>8.0499999999999989</v>
      </c>
      <c r="O45" s="147">
        <v>9.0499999999999989</v>
      </c>
    </row>
    <row r="46" spans="4:15" s="318" customFormat="1" ht="19.5" x14ac:dyDescent="0.25">
      <c r="D46" s="319"/>
      <c r="E46" s="107">
        <v>19</v>
      </c>
      <c r="F46" s="219" t="s">
        <v>141</v>
      </c>
      <c r="G46" s="137"/>
      <c r="H46" s="137"/>
      <c r="I46" s="137">
        <v>20</v>
      </c>
      <c r="J46" s="137"/>
      <c r="K46" s="137"/>
      <c r="L46" s="219"/>
      <c r="M46" s="219">
        <v>20</v>
      </c>
      <c r="N46" s="219">
        <v>8</v>
      </c>
      <c r="O46" s="147">
        <v>9</v>
      </c>
    </row>
    <row r="47" spans="4:15" s="318" customFormat="1" ht="19.5" x14ac:dyDescent="0.25">
      <c r="D47" s="319"/>
      <c r="E47" s="107">
        <v>20</v>
      </c>
      <c r="F47" s="219" t="s">
        <v>141</v>
      </c>
      <c r="G47" s="137"/>
      <c r="H47" s="137"/>
      <c r="I47" s="137">
        <v>20</v>
      </c>
      <c r="J47" s="137"/>
      <c r="K47" s="137"/>
      <c r="L47" s="219"/>
      <c r="M47" s="219">
        <v>20</v>
      </c>
      <c r="N47" s="219">
        <v>8</v>
      </c>
      <c r="O47" s="147">
        <v>9</v>
      </c>
    </row>
    <row r="48" spans="4:15" s="318" customFormat="1" ht="19.5" x14ac:dyDescent="0.25">
      <c r="D48" s="319"/>
      <c r="E48" s="107">
        <v>21</v>
      </c>
      <c r="F48" s="219" t="s">
        <v>141</v>
      </c>
      <c r="G48" s="137"/>
      <c r="H48" s="137"/>
      <c r="I48" s="137">
        <v>20</v>
      </c>
      <c r="J48" s="137"/>
      <c r="K48" s="137"/>
      <c r="L48" s="219"/>
      <c r="M48" s="219">
        <v>20</v>
      </c>
      <c r="N48" s="219">
        <v>8</v>
      </c>
      <c r="O48" s="147">
        <v>9</v>
      </c>
    </row>
    <row r="49" spans="4:15" s="318" customFormat="1" ht="19.5" x14ac:dyDescent="0.25">
      <c r="D49" s="319"/>
      <c r="E49" s="107">
        <v>22</v>
      </c>
      <c r="F49" s="219" t="s">
        <v>141</v>
      </c>
      <c r="G49" s="137"/>
      <c r="H49" s="137"/>
      <c r="I49" s="137">
        <v>20</v>
      </c>
      <c r="J49" s="137"/>
      <c r="K49" s="137"/>
      <c r="L49" s="219"/>
      <c r="M49" s="219">
        <v>20</v>
      </c>
      <c r="N49" s="219">
        <v>8</v>
      </c>
      <c r="O49" s="147">
        <v>9</v>
      </c>
    </row>
    <row r="50" spans="4:15" s="318" customFormat="1" ht="19.5" x14ac:dyDescent="0.25">
      <c r="D50" s="319"/>
      <c r="E50" s="107">
        <v>23</v>
      </c>
      <c r="F50" s="219" t="s">
        <v>141</v>
      </c>
      <c r="G50" s="137"/>
      <c r="H50" s="137"/>
      <c r="I50" s="137">
        <v>20</v>
      </c>
      <c r="J50" s="137"/>
      <c r="K50" s="137"/>
      <c r="L50" s="219"/>
      <c r="M50" s="219">
        <v>20</v>
      </c>
      <c r="N50" s="219">
        <v>8</v>
      </c>
      <c r="O50" s="147">
        <v>9</v>
      </c>
    </row>
    <row r="51" spans="4:15" s="318" customFormat="1" ht="19.5" x14ac:dyDescent="0.25">
      <c r="D51" s="319"/>
      <c r="E51" s="107">
        <v>24</v>
      </c>
      <c r="F51" s="219" t="s">
        <v>141</v>
      </c>
      <c r="G51" s="137"/>
      <c r="H51" s="137"/>
      <c r="I51" s="137">
        <v>20</v>
      </c>
      <c r="J51" s="137"/>
      <c r="K51" s="137"/>
      <c r="L51" s="219"/>
      <c r="M51" s="219">
        <v>20</v>
      </c>
      <c r="N51" s="219">
        <v>8</v>
      </c>
      <c r="O51" s="147">
        <v>9</v>
      </c>
    </row>
    <row r="52" spans="4:15" s="318" customFormat="1" ht="19.5" x14ac:dyDescent="0.25">
      <c r="D52" s="319"/>
      <c r="E52" s="107">
        <v>25</v>
      </c>
      <c r="F52" s="219" t="s">
        <v>141</v>
      </c>
      <c r="G52" s="137"/>
      <c r="H52" s="137"/>
      <c r="I52" s="137">
        <v>20</v>
      </c>
      <c r="J52" s="137"/>
      <c r="K52" s="137"/>
      <c r="L52" s="219"/>
      <c r="M52" s="219">
        <v>20</v>
      </c>
      <c r="N52" s="219">
        <v>8</v>
      </c>
      <c r="O52" s="147">
        <v>9</v>
      </c>
    </row>
    <row r="53" spans="4:15" s="318" customFormat="1" ht="19.5" x14ac:dyDescent="0.25">
      <c r="D53" s="319"/>
      <c r="E53" s="107">
        <v>26</v>
      </c>
      <c r="F53" s="219" t="s">
        <v>141</v>
      </c>
      <c r="G53" s="137"/>
      <c r="H53" s="137"/>
      <c r="I53" s="137">
        <v>20</v>
      </c>
      <c r="J53" s="137"/>
      <c r="K53" s="137"/>
      <c r="L53" s="219"/>
      <c r="M53" s="219">
        <v>20</v>
      </c>
      <c r="N53" s="219">
        <v>8</v>
      </c>
      <c r="O53" s="147">
        <v>9</v>
      </c>
    </row>
    <row r="54" spans="4:15" s="318" customFormat="1" ht="19.5" x14ac:dyDescent="0.25">
      <c r="D54" s="319"/>
      <c r="E54" s="107">
        <v>27</v>
      </c>
      <c r="F54" s="219" t="s">
        <v>141</v>
      </c>
      <c r="G54" s="137"/>
      <c r="H54" s="137"/>
      <c r="I54" s="137">
        <v>20</v>
      </c>
      <c r="J54" s="137"/>
      <c r="K54" s="137"/>
      <c r="L54" s="219"/>
      <c r="M54" s="219">
        <v>20</v>
      </c>
      <c r="N54" s="219">
        <v>8</v>
      </c>
      <c r="O54" s="147">
        <v>9</v>
      </c>
    </row>
    <row r="55" spans="4:15" s="318" customFormat="1" ht="19.5" x14ac:dyDescent="0.25">
      <c r="D55" s="319"/>
      <c r="E55" s="107">
        <v>28</v>
      </c>
      <c r="F55" s="219" t="s">
        <v>141</v>
      </c>
      <c r="G55" s="137"/>
      <c r="H55" s="137"/>
      <c r="I55" s="137">
        <v>20</v>
      </c>
      <c r="J55" s="137"/>
      <c r="K55" s="137"/>
      <c r="L55" s="219"/>
      <c r="M55" s="219">
        <v>20</v>
      </c>
      <c r="N55" s="219">
        <v>8</v>
      </c>
      <c r="O55" s="147">
        <v>9</v>
      </c>
    </row>
    <row r="56" spans="4:15" s="318" customFormat="1" ht="19.5" x14ac:dyDescent="0.25">
      <c r="D56" s="319"/>
      <c r="E56" s="107">
        <v>29</v>
      </c>
      <c r="F56" s="219" t="s">
        <v>141</v>
      </c>
      <c r="G56" s="137"/>
      <c r="H56" s="137"/>
      <c r="I56" s="137">
        <v>20</v>
      </c>
      <c r="J56" s="137"/>
      <c r="K56" s="137"/>
      <c r="L56" s="219"/>
      <c r="M56" s="219">
        <v>20</v>
      </c>
      <c r="N56" s="219">
        <v>8</v>
      </c>
      <c r="O56" s="147">
        <v>9</v>
      </c>
    </row>
    <row r="57" spans="4:15" s="318" customFormat="1" ht="19.5" x14ac:dyDescent="0.25">
      <c r="D57" s="319"/>
      <c r="E57" s="107">
        <v>30</v>
      </c>
      <c r="F57" s="219" t="s">
        <v>141</v>
      </c>
      <c r="G57" s="137"/>
      <c r="H57" s="137"/>
      <c r="I57" s="137">
        <v>20</v>
      </c>
      <c r="J57" s="137"/>
      <c r="K57" s="137"/>
      <c r="L57" s="219"/>
      <c r="M57" s="219">
        <v>20</v>
      </c>
      <c r="N57" s="219">
        <v>8</v>
      </c>
      <c r="O57" s="147">
        <v>9</v>
      </c>
    </row>
    <row r="58" spans="4:15" s="318" customFormat="1" ht="19.5" x14ac:dyDescent="0.25">
      <c r="D58" s="319"/>
      <c r="E58" s="107">
        <v>31</v>
      </c>
      <c r="F58" s="219" t="s">
        <v>141</v>
      </c>
      <c r="G58" s="137"/>
      <c r="H58" s="137"/>
      <c r="I58" s="137">
        <v>20</v>
      </c>
      <c r="J58" s="137"/>
      <c r="K58" s="137"/>
      <c r="L58" s="219"/>
      <c r="M58" s="219">
        <v>20</v>
      </c>
      <c r="N58" s="219">
        <v>8</v>
      </c>
      <c r="O58" s="147">
        <v>9</v>
      </c>
    </row>
    <row r="59" spans="4:15" s="318" customFormat="1" ht="19.5" x14ac:dyDescent="0.25">
      <c r="D59" s="319"/>
      <c r="E59" s="107">
        <v>32</v>
      </c>
      <c r="F59" s="219" t="s">
        <v>141</v>
      </c>
      <c r="G59" s="137"/>
      <c r="H59" s="137"/>
      <c r="I59" s="137">
        <v>20</v>
      </c>
      <c r="J59" s="137"/>
      <c r="K59" s="137"/>
      <c r="L59" s="219"/>
      <c r="M59" s="219">
        <v>20</v>
      </c>
      <c r="N59" s="219">
        <v>8</v>
      </c>
      <c r="O59" s="147">
        <v>9</v>
      </c>
    </row>
    <row r="60" spans="4:15" s="318" customFormat="1" ht="19.5" x14ac:dyDescent="0.25">
      <c r="D60" s="319"/>
      <c r="E60" s="107">
        <v>33</v>
      </c>
      <c r="F60" s="219" t="s">
        <v>141</v>
      </c>
      <c r="G60" s="137"/>
      <c r="H60" s="137"/>
      <c r="I60" s="137">
        <v>20</v>
      </c>
      <c r="J60" s="137"/>
      <c r="K60" s="137"/>
      <c r="L60" s="219"/>
      <c r="M60" s="219">
        <v>20</v>
      </c>
      <c r="N60" s="219">
        <v>8</v>
      </c>
      <c r="O60" s="147">
        <v>9</v>
      </c>
    </row>
    <row r="61" spans="4:15" s="318" customFormat="1" ht="19.5" x14ac:dyDescent="0.25">
      <c r="D61" s="319"/>
      <c r="E61" s="107">
        <v>34</v>
      </c>
      <c r="F61" s="219" t="s">
        <v>141</v>
      </c>
      <c r="G61" s="137"/>
      <c r="H61" s="137"/>
      <c r="I61" s="137">
        <v>20</v>
      </c>
      <c r="J61" s="137"/>
      <c r="K61" s="137"/>
      <c r="L61" s="219"/>
      <c r="M61" s="219">
        <v>20</v>
      </c>
      <c r="N61" s="219">
        <v>8</v>
      </c>
      <c r="O61" s="147">
        <v>9</v>
      </c>
    </row>
    <row r="62" spans="4:15" s="318" customFormat="1" ht="19.5" x14ac:dyDescent="0.25">
      <c r="D62" s="319"/>
      <c r="E62" s="107">
        <v>35</v>
      </c>
      <c r="F62" s="219" t="s">
        <v>141</v>
      </c>
      <c r="G62" s="137"/>
      <c r="H62" s="137"/>
      <c r="I62" s="137">
        <v>20</v>
      </c>
      <c r="J62" s="137"/>
      <c r="K62" s="137"/>
      <c r="L62" s="219"/>
      <c r="M62" s="219">
        <v>20</v>
      </c>
      <c r="N62" s="219">
        <v>8</v>
      </c>
      <c r="O62" s="147">
        <v>9</v>
      </c>
    </row>
    <row r="63" spans="4:15" s="318" customFormat="1" ht="19.5" x14ac:dyDescent="0.25">
      <c r="D63" s="319"/>
      <c r="E63" s="107">
        <v>36</v>
      </c>
      <c r="F63" s="219" t="s">
        <v>141</v>
      </c>
      <c r="G63" s="137"/>
      <c r="H63" s="137"/>
      <c r="I63" s="137"/>
      <c r="J63" s="137">
        <v>20</v>
      </c>
      <c r="K63" s="137"/>
      <c r="L63" s="219"/>
      <c r="M63" s="219">
        <v>20</v>
      </c>
      <c r="N63" s="219">
        <v>9</v>
      </c>
      <c r="O63" s="147">
        <v>10</v>
      </c>
    </row>
    <row r="64" spans="4:15" s="318" customFormat="1" ht="19.5" x14ac:dyDescent="0.25">
      <c r="D64" s="319"/>
      <c r="E64" s="107">
        <v>37</v>
      </c>
      <c r="F64" s="219" t="s">
        <v>141</v>
      </c>
      <c r="G64" s="137"/>
      <c r="H64" s="137"/>
      <c r="I64" s="137"/>
      <c r="J64" s="137">
        <v>20</v>
      </c>
      <c r="K64" s="137"/>
      <c r="L64" s="219"/>
      <c r="M64" s="219">
        <v>20</v>
      </c>
      <c r="N64" s="219">
        <v>9</v>
      </c>
      <c r="O64" s="147">
        <v>10</v>
      </c>
    </row>
    <row r="65" spans="4:15" s="318" customFormat="1" ht="19.5" x14ac:dyDescent="0.25">
      <c r="D65" s="319"/>
      <c r="E65" s="107">
        <v>38</v>
      </c>
      <c r="F65" s="219" t="s">
        <v>141</v>
      </c>
      <c r="G65" s="137"/>
      <c r="H65" s="137"/>
      <c r="I65" s="137"/>
      <c r="J65" s="137">
        <v>20</v>
      </c>
      <c r="K65" s="137"/>
      <c r="L65" s="219"/>
      <c r="M65" s="219">
        <v>20</v>
      </c>
      <c r="N65" s="219">
        <v>9</v>
      </c>
      <c r="O65" s="147">
        <v>10</v>
      </c>
    </row>
    <row r="66" spans="4:15" s="318" customFormat="1" ht="19.5" x14ac:dyDescent="0.25">
      <c r="D66" s="319"/>
      <c r="E66" s="107">
        <v>39</v>
      </c>
      <c r="F66" s="219" t="s">
        <v>141</v>
      </c>
      <c r="G66" s="137"/>
      <c r="H66" s="137"/>
      <c r="I66" s="137"/>
      <c r="J66" s="137">
        <v>20</v>
      </c>
      <c r="K66" s="137"/>
      <c r="L66" s="219"/>
      <c r="M66" s="219">
        <v>20</v>
      </c>
      <c r="N66" s="219">
        <v>9</v>
      </c>
      <c r="O66" s="147">
        <v>10</v>
      </c>
    </row>
    <row r="67" spans="4:15" s="318" customFormat="1" ht="19.5" x14ac:dyDescent="0.25">
      <c r="D67" s="319"/>
      <c r="E67" s="107">
        <v>40</v>
      </c>
      <c r="F67" s="219" t="s">
        <v>141</v>
      </c>
      <c r="G67" s="137"/>
      <c r="H67" s="137"/>
      <c r="I67" s="137"/>
      <c r="J67" s="137">
        <v>20</v>
      </c>
      <c r="K67" s="137"/>
      <c r="L67" s="219"/>
      <c r="M67" s="219">
        <v>20</v>
      </c>
      <c r="N67" s="219">
        <v>9</v>
      </c>
      <c r="O67" s="147">
        <v>10</v>
      </c>
    </row>
    <row r="68" spans="4:15" s="318" customFormat="1" ht="19.5" x14ac:dyDescent="0.25">
      <c r="D68" s="319"/>
      <c r="E68" s="107">
        <v>41</v>
      </c>
      <c r="F68" s="219" t="s">
        <v>141</v>
      </c>
      <c r="G68" s="137"/>
      <c r="H68" s="137"/>
      <c r="I68" s="137"/>
      <c r="J68" s="137">
        <v>20</v>
      </c>
      <c r="K68" s="137"/>
      <c r="L68" s="219"/>
      <c r="M68" s="219">
        <v>20</v>
      </c>
      <c r="N68" s="219">
        <v>9</v>
      </c>
      <c r="O68" s="147">
        <v>10</v>
      </c>
    </row>
    <row r="69" spans="4:15" s="318" customFormat="1" ht="19.5" x14ac:dyDescent="0.25">
      <c r="D69" s="319"/>
      <c r="E69" s="107">
        <v>42</v>
      </c>
      <c r="F69" s="219" t="s">
        <v>141</v>
      </c>
      <c r="G69" s="137"/>
      <c r="H69" s="137"/>
      <c r="I69" s="137"/>
      <c r="J69" s="137">
        <v>20</v>
      </c>
      <c r="K69" s="137"/>
      <c r="L69" s="219"/>
      <c r="M69" s="219">
        <v>20</v>
      </c>
      <c r="N69" s="219">
        <v>9</v>
      </c>
      <c r="O69" s="147">
        <v>10</v>
      </c>
    </row>
    <row r="70" spans="4:15" s="318" customFormat="1" ht="19.5" x14ac:dyDescent="0.25">
      <c r="D70" s="319"/>
      <c r="E70" s="107">
        <v>43</v>
      </c>
      <c r="F70" s="219" t="s">
        <v>141</v>
      </c>
      <c r="G70" s="137"/>
      <c r="H70" s="137"/>
      <c r="I70" s="137"/>
      <c r="J70" s="137">
        <v>20</v>
      </c>
      <c r="K70" s="137"/>
      <c r="L70" s="219"/>
      <c r="M70" s="219">
        <v>20</v>
      </c>
      <c r="N70" s="219">
        <v>9</v>
      </c>
      <c r="O70" s="147">
        <v>10</v>
      </c>
    </row>
    <row r="71" spans="4:15" s="318" customFormat="1" ht="19.5" x14ac:dyDescent="0.25">
      <c r="D71" s="319"/>
      <c r="E71" s="107">
        <v>44</v>
      </c>
      <c r="F71" s="219" t="s">
        <v>141</v>
      </c>
      <c r="G71" s="137"/>
      <c r="H71" s="137"/>
      <c r="I71" s="137"/>
      <c r="J71" s="137">
        <v>20</v>
      </c>
      <c r="K71" s="137"/>
      <c r="L71" s="219"/>
      <c r="M71" s="219">
        <v>20</v>
      </c>
      <c r="N71" s="219">
        <v>9</v>
      </c>
      <c r="O71" s="147">
        <v>10</v>
      </c>
    </row>
    <row r="72" spans="4:15" s="318" customFormat="1" ht="19.5" x14ac:dyDescent="0.25">
      <c r="D72" s="319"/>
      <c r="E72" s="107">
        <v>45</v>
      </c>
      <c r="F72" s="219" t="s">
        <v>141</v>
      </c>
      <c r="G72" s="137"/>
      <c r="H72" s="137"/>
      <c r="I72" s="137"/>
      <c r="J72" s="137">
        <v>20</v>
      </c>
      <c r="K72" s="137"/>
      <c r="L72" s="219"/>
      <c r="M72" s="219">
        <v>20</v>
      </c>
      <c r="N72" s="219">
        <v>9</v>
      </c>
      <c r="O72" s="147">
        <v>10</v>
      </c>
    </row>
    <row r="73" spans="4:15" s="318" customFormat="1" ht="19.5" x14ac:dyDescent="0.25">
      <c r="D73" s="319"/>
      <c r="E73" s="107">
        <v>46</v>
      </c>
      <c r="F73" s="219" t="s">
        <v>141</v>
      </c>
      <c r="G73" s="137"/>
      <c r="H73" s="137"/>
      <c r="I73" s="137"/>
      <c r="J73" s="137">
        <v>20</v>
      </c>
      <c r="K73" s="137"/>
      <c r="L73" s="219"/>
      <c r="M73" s="219">
        <v>20</v>
      </c>
      <c r="N73" s="219">
        <v>9</v>
      </c>
      <c r="O73" s="147">
        <v>10</v>
      </c>
    </row>
    <row r="74" spans="4:15" s="318" customFormat="1" ht="19.5" x14ac:dyDescent="0.25">
      <c r="D74" s="319"/>
      <c r="E74" s="107">
        <v>47</v>
      </c>
      <c r="F74" s="219" t="s">
        <v>141</v>
      </c>
      <c r="G74" s="137"/>
      <c r="H74" s="137"/>
      <c r="I74" s="137"/>
      <c r="J74" s="137">
        <v>20</v>
      </c>
      <c r="K74" s="137"/>
      <c r="L74" s="219"/>
      <c r="M74" s="219">
        <v>20</v>
      </c>
      <c r="N74" s="219">
        <v>9</v>
      </c>
      <c r="O74" s="147">
        <v>10</v>
      </c>
    </row>
    <row r="75" spans="4:15" s="318" customFormat="1" ht="19.5" x14ac:dyDescent="0.25">
      <c r="D75" s="319"/>
      <c r="E75" s="107">
        <v>48</v>
      </c>
      <c r="F75" s="219" t="s">
        <v>141</v>
      </c>
      <c r="G75" s="137"/>
      <c r="H75" s="137"/>
      <c r="I75" s="137"/>
      <c r="J75" s="137">
        <v>20</v>
      </c>
      <c r="K75" s="137"/>
      <c r="L75" s="219"/>
      <c r="M75" s="219">
        <v>20</v>
      </c>
      <c r="N75" s="219">
        <v>9</v>
      </c>
      <c r="O75" s="147">
        <v>10</v>
      </c>
    </row>
    <row r="76" spans="4:15" s="318" customFormat="1" ht="19.5" x14ac:dyDescent="0.25">
      <c r="D76" s="319"/>
      <c r="E76" s="107">
        <v>49</v>
      </c>
      <c r="F76" s="219" t="s">
        <v>141</v>
      </c>
      <c r="G76" s="137"/>
      <c r="H76" s="137"/>
      <c r="I76" s="137"/>
      <c r="J76" s="137">
        <v>24</v>
      </c>
      <c r="K76" s="137"/>
      <c r="L76" s="219"/>
      <c r="M76" s="219">
        <v>24</v>
      </c>
      <c r="N76" s="219">
        <v>10.8</v>
      </c>
      <c r="O76" s="147">
        <v>11.8</v>
      </c>
    </row>
    <row r="77" spans="4:15" s="318" customFormat="1" ht="19.5" x14ac:dyDescent="0.25">
      <c r="D77" s="319"/>
      <c r="E77" s="107">
        <v>50</v>
      </c>
      <c r="F77" s="219" t="s">
        <v>141</v>
      </c>
      <c r="G77" s="137"/>
      <c r="H77" s="137"/>
      <c r="I77" s="137"/>
      <c r="J77" s="137"/>
      <c r="K77" s="137">
        <v>20</v>
      </c>
      <c r="L77" s="219"/>
      <c r="M77" s="219">
        <v>20</v>
      </c>
      <c r="N77" s="219">
        <v>10</v>
      </c>
      <c r="O77" s="147">
        <v>11</v>
      </c>
    </row>
    <row r="78" spans="4:15" s="318" customFormat="1" ht="19.5" x14ac:dyDescent="0.25">
      <c r="D78" s="319"/>
      <c r="E78" s="107">
        <v>51</v>
      </c>
      <c r="F78" s="219" t="s">
        <v>141</v>
      </c>
      <c r="G78" s="137"/>
      <c r="H78" s="137"/>
      <c r="I78" s="137"/>
      <c r="J78" s="137"/>
      <c r="K78" s="137">
        <v>20</v>
      </c>
      <c r="L78" s="219"/>
      <c r="M78" s="219">
        <v>20</v>
      </c>
      <c r="N78" s="219">
        <v>10</v>
      </c>
      <c r="O78" s="147">
        <v>11</v>
      </c>
    </row>
    <row r="79" spans="4:15" s="318" customFormat="1" ht="19.5" x14ac:dyDescent="0.25">
      <c r="D79" s="319"/>
      <c r="E79" s="107">
        <v>52</v>
      </c>
      <c r="F79" s="219" t="s">
        <v>141</v>
      </c>
      <c r="G79" s="137"/>
      <c r="H79" s="137"/>
      <c r="I79" s="137"/>
      <c r="J79" s="137"/>
      <c r="K79" s="137">
        <v>20</v>
      </c>
      <c r="L79" s="219"/>
      <c r="M79" s="219">
        <v>20</v>
      </c>
      <c r="N79" s="219">
        <v>10</v>
      </c>
      <c r="O79" s="147">
        <v>11</v>
      </c>
    </row>
    <row r="80" spans="4:15" s="318" customFormat="1" ht="19.5" x14ac:dyDescent="0.25">
      <c r="D80" s="319"/>
      <c r="E80" s="107">
        <v>53</v>
      </c>
      <c r="F80" s="219" t="s">
        <v>141</v>
      </c>
      <c r="G80" s="137"/>
      <c r="H80" s="137"/>
      <c r="I80" s="137"/>
      <c r="J80" s="137"/>
      <c r="K80" s="137">
        <v>20</v>
      </c>
      <c r="L80" s="219"/>
      <c r="M80" s="219">
        <v>20</v>
      </c>
      <c r="N80" s="219">
        <v>10</v>
      </c>
      <c r="O80" s="147">
        <v>11</v>
      </c>
    </row>
    <row r="81" spans="4:15" s="318" customFormat="1" ht="19.5" x14ac:dyDescent="0.25">
      <c r="D81" s="319"/>
      <c r="E81" s="107">
        <v>54</v>
      </c>
      <c r="F81" s="219" t="s">
        <v>141</v>
      </c>
      <c r="G81" s="137"/>
      <c r="H81" s="137"/>
      <c r="I81" s="137"/>
      <c r="J81" s="137"/>
      <c r="K81" s="137">
        <v>20</v>
      </c>
      <c r="L81" s="219"/>
      <c r="M81" s="219">
        <v>20</v>
      </c>
      <c r="N81" s="219">
        <v>10</v>
      </c>
      <c r="O81" s="147">
        <v>11</v>
      </c>
    </row>
    <row r="82" spans="4:15" s="318" customFormat="1" ht="19.5" x14ac:dyDescent="0.25">
      <c r="D82" s="319"/>
      <c r="E82" s="107">
        <v>55</v>
      </c>
      <c r="F82" s="219" t="s">
        <v>141</v>
      </c>
      <c r="G82" s="137"/>
      <c r="H82" s="137"/>
      <c r="I82" s="137"/>
      <c r="J82" s="137"/>
      <c r="K82" s="137">
        <v>20</v>
      </c>
      <c r="L82" s="219"/>
      <c r="M82" s="219">
        <v>20</v>
      </c>
      <c r="N82" s="219">
        <v>10</v>
      </c>
      <c r="O82" s="147">
        <v>11</v>
      </c>
    </row>
    <row r="83" spans="4:15" s="318" customFormat="1" ht="19.5" x14ac:dyDescent="0.25">
      <c r="D83" s="319"/>
      <c r="E83" s="107">
        <v>56</v>
      </c>
      <c r="F83" s="219" t="s">
        <v>141</v>
      </c>
      <c r="G83" s="137"/>
      <c r="H83" s="137"/>
      <c r="I83" s="137"/>
      <c r="J83" s="137"/>
      <c r="K83" s="137">
        <v>20</v>
      </c>
      <c r="L83" s="219"/>
      <c r="M83" s="219">
        <v>20</v>
      </c>
      <c r="N83" s="219">
        <v>10</v>
      </c>
      <c r="O83" s="147">
        <v>11</v>
      </c>
    </row>
    <row r="84" spans="4:15" s="318" customFormat="1" ht="19.5" x14ac:dyDescent="0.25">
      <c r="D84" s="319"/>
      <c r="E84" s="107">
        <v>57</v>
      </c>
      <c r="F84" s="219" t="s">
        <v>141</v>
      </c>
      <c r="G84" s="137"/>
      <c r="H84" s="137"/>
      <c r="I84" s="137"/>
      <c r="J84" s="137"/>
      <c r="K84" s="137">
        <v>20</v>
      </c>
      <c r="L84" s="219"/>
      <c r="M84" s="219">
        <v>20</v>
      </c>
      <c r="N84" s="219">
        <v>10</v>
      </c>
      <c r="O84" s="147">
        <v>11</v>
      </c>
    </row>
    <row r="85" spans="4:15" s="318" customFormat="1" ht="19.5" x14ac:dyDescent="0.25">
      <c r="D85" s="319"/>
      <c r="E85" s="107">
        <v>58</v>
      </c>
      <c r="F85" s="219" t="s">
        <v>141</v>
      </c>
      <c r="G85" s="137"/>
      <c r="H85" s="137"/>
      <c r="I85" s="137"/>
      <c r="J85" s="137"/>
      <c r="K85" s="137">
        <v>20</v>
      </c>
      <c r="L85" s="219"/>
      <c r="M85" s="219">
        <v>20</v>
      </c>
      <c r="N85" s="219">
        <v>10</v>
      </c>
      <c r="O85" s="147">
        <v>11</v>
      </c>
    </row>
    <row r="86" spans="4:15" s="318" customFormat="1" ht="19.5" x14ac:dyDescent="0.25">
      <c r="D86" s="319"/>
      <c r="E86" s="107">
        <v>59</v>
      </c>
      <c r="F86" s="219" t="s">
        <v>141</v>
      </c>
      <c r="G86" s="137"/>
      <c r="H86" s="137"/>
      <c r="I86" s="137"/>
      <c r="J86" s="137"/>
      <c r="K86" s="137">
        <v>24</v>
      </c>
      <c r="L86" s="219"/>
      <c r="M86" s="219">
        <v>24</v>
      </c>
      <c r="N86" s="219">
        <v>12</v>
      </c>
      <c r="O86" s="147">
        <v>13</v>
      </c>
    </row>
    <row r="87" spans="4:15" s="318" customFormat="1" ht="19.5" x14ac:dyDescent="0.25">
      <c r="D87" s="319"/>
      <c r="E87" s="107">
        <v>60</v>
      </c>
      <c r="F87" s="219" t="s">
        <v>141</v>
      </c>
      <c r="G87" s="137"/>
      <c r="H87" s="137"/>
      <c r="I87" s="137"/>
      <c r="J87" s="137"/>
      <c r="K87" s="137"/>
      <c r="L87" s="219">
        <v>20</v>
      </c>
      <c r="M87" s="219">
        <v>20</v>
      </c>
      <c r="N87" s="219">
        <v>11</v>
      </c>
      <c r="O87" s="147">
        <v>12</v>
      </c>
    </row>
    <row r="88" spans="4:15" s="318" customFormat="1" ht="19.5" x14ac:dyDescent="0.25">
      <c r="D88" s="319"/>
      <c r="E88" s="107">
        <v>61</v>
      </c>
      <c r="F88" s="219" t="s">
        <v>142</v>
      </c>
      <c r="G88" s="137"/>
      <c r="H88" s="137"/>
      <c r="I88" s="137">
        <v>9</v>
      </c>
      <c r="J88" s="137">
        <v>14</v>
      </c>
      <c r="K88" s="137"/>
      <c r="L88" s="219"/>
      <c r="M88" s="219">
        <v>23</v>
      </c>
      <c r="N88" s="219">
        <v>9.9</v>
      </c>
      <c r="O88" s="147">
        <v>10.9</v>
      </c>
    </row>
    <row r="89" spans="4:15" s="318" customFormat="1" ht="19.5" x14ac:dyDescent="0.25">
      <c r="D89" s="319"/>
      <c r="E89" s="107">
        <v>62</v>
      </c>
      <c r="F89" s="219" t="s">
        <v>142</v>
      </c>
      <c r="G89" s="137">
        <v>3</v>
      </c>
      <c r="H89" s="137">
        <v>20</v>
      </c>
      <c r="I89" s="137"/>
      <c r="J89" s="137"/>
      <c r="K89" s="137"/>
      <c r="L89" s="219"/>
      <c r="M89" s="219">
        <v>23</v>
      </c>
      <c r="N89" s="219">
        <v>7.9</v>
      </c>
      <c r="O89" s="147">
        <v>8.9</v>
      </c>
    </row>
    <row r="90" spans="4:15" s="318" customFormat="1" ht="19.5" x14ac:dyDescent="0.25">
      <c r="D90" s="319"/>
      <c r="E90" s="107">
        <v>63</v>
      </c>
      <c r="F90" s="219" t="s">
        <v>142</v>
      </c>
      <c r="G90" s="137"/>
      <c r="H90" s="137"/>
      <c r="I90" s="137"/>
      <c r="J90" s="137"/>
      <c r="K90" s="137">
        <v>7</v>
      </c>
      <c r="L90" s="219">
        <v>13</v>
      </c>
      <c r="M90" s="219">
        <v>20</v>
      </c>
      <c r="N90" s="219">
        <v>10.65</v>
      </c>
      <c r="O90" s="147">
        <v>11.65</v>
      </c>
    </row>
    <row r="91" spans="4:15" s="318" customFormat="1" ht="19.5" x14ac:dyDescent="0.25">
      <c r="D91" s="319"/>
      <c r="E91" s="107">
        <v>64</v>
      </c>
      <c r="F91" s="219" t="s">
        <v>142</v>
      </c>
      <c r="G91" s="137">
        <v>20</v>
      </c>
      <c r="H91" s="137"/>
      <c r="I91" s="137"/>
      <c r="J91" s="137"/>
      <c r="K91" s="137"/>
      <c r="L91" s="219"/>
      <c r="M91" s="219">
        <v>20</v>
      </c>
      <c r="N91" s="219">
        <v>6</v>
      </c>
      <c r="O91" s="147">
        <v>7</v>
      </c>
    </row>
    <row r="92" spans="4:15" s="318" customFormat="1" ht="19.5" x14ac:dyDescent="0.25">
      <c r="D92" s="319"/>
      <c r="E92" s="107">
        <v>65</v>
      </c>
      <c r="F92" s="219" t="s">
        <v>142</v>
      </c>
      <c r="G92" s="137">
        <v>20</v>
      </c>
      <c r="H92" s="137"/>
      <c r="I92" s="137"/>
      <c r="J92" s="137"/>
      <c r="K92" s="137"/>
      <c r="L92" s="219"/>
      <c r="M92" s="219">
        <v>20</v>
      </c>
      <c r="N92" s="219">
        <v>6</v>
      </c>
      <c r="O92" s="147">
        <v>7</v>
      </c>
    </row>
    <row r="93" spans="4:15" s="318" customFormat="1" ht="19.5" x14ac:dyDescent="0.25">
      <c r="D93" s="319"/>
      <c r="E93" s="107">
        <v>66</v>
      </c>
      <c r="F93" s="219" t="s">
        <v>142</v>
      </c>
      <c r="G93" s="137">
        <v>20</v>
      </c>
      <c r="H93" s="137"/>
      <c r="I93" s="137"/>
      <c r="J93" s="137"/>
      <c r="K93" s="137"/>
      <c r="L93" s="219"/>
      <c r="M93" s="219">
        <v>20</v>
      </c>
      <c r="N93" s="219">
        <v>6</v>
      </c>
      <c r="O93" s="147">
        <v>7</v>
      </c>
    </row>
    <row r="94" spans="4:15" s="318" customFormat="1" ht="19.5" x14ac:dyDescent="0.25">
      <c r="D94" s="319"/>
      <c r="E94" s="107">
        <v>67</v>
      </c>
      <c r="F94" s="219" t="s">
        <v>142</v>
      </c>
      <c r="G94" s="137">
        <v>20</v>
      </c>
      <c r="H94" s="137"/>
      <c r="I94" s="137"/>
      <c r="J94" s="137"/>
      <c r="K94" s="137"/>
      <c r="L94" s="219"/>
      <c r="M94" s="219">
        <v>20</v>
      </c>
      <c r="N94" s="219">
        <v>6</v>
      </c>
      <c r="O94" s="147">
        <v>7</v>
      </c>
    </row>
    <row r="95" spans="4:15" s="318" customFormat="1" ht="19.5" x14ac:dyDescent="0.25">
      <c r="D95" s="319"/>
      <c r="E95" s="107">
        <v>68</v>
      </c>
      <c r="F95" s="219" t="s">
        <v>142</v>
      </c>
      <c r="G95" s="137">
        <v>20</v>
      </c>
      <c r="H95" s="137"/>
      <c r="I95" s="137"/>
      <c r="J95" s="137"/>
      <c r="K95" s="137"/>
      <c r="L95" s="219"/>
      <c r="M95" s="219">
        <v>20</v>
      </c>
      <c r="N95" s="219">
        <v>6</v>
      </c>
      <c r="O95" s="147">
        <v>7</v>
      </c>
    </row>
    <row r="96" spans="4:15" s="318" customFormat="1" ht="19.5" x14ac:dyDescent="0.25">
      <c r="D96" s="319"/>
      <c r="E96" s="107">
        <v>69</v>
      </c>
      <c r="F96" s="219" t="s">
        <v>142</v>
      </c>
      <c r="G96" s="137"/>
      <c r="H96" s="137">
        <v>20</v>
      </c>
      <c r="I96" s="137"/>
      <c r="J96" s="137"/>
      <c r="K96" s="137"/>
      <c r="L96" s="219"/>
      <c r="M96" s="219">
        <v>20</v>
      </c>
      <c r="N96" s="219">
        <v>7</v>
      </c>
      <c r="O96" s="147">
        <v>8</v>
      </c>
    </row>
    <row r="97" spans="4:15" s="318" customFormat="1" ht="19.5" x14ac:dyDescent="0.25">
      <c r="D97" s="319"/>
      <c r="E97" s="107">
        <v>70</v>
      </c>
      <c r="F97" s="219" t="s">
        <v>142</v>
      </c>
      <c r="G97" s="137"/>
      <c r="H97" s="137">
        <v>20</v>
      </c>
      <c r="I97" s="137"/>
      <c r="J97" s="137"/>
      <c r="K97" s="137"/>
      <c r="L97" s="219"/>
      <c r="M97" s="219">
        <v>20</v>
      </c>
      <c r="N97" s="219">
        <v>7</v>
      </c>
      <c r="O97" s="147">
        <v>8</v>
      </c>
    </row>
    <row r="98" spans="4:15" s="318" customFormat="1" ht="19.5" x14ac:dyDescent="0.25">
      <c r="D98" s="319"/>
      <c r="E98" s="107">
        <v>71</v>
      </c>
      <c r="F98" s="219" t="s">
        <v>142</v>
      </c>
      <c r="G98" s="137"/>
      <c r="H98" s="137">
        <v>20</v>
      </c>
      <c r="I98" s="137"/>
      <c r="J98" s="137"/>
      <c r="K98" s="137"/>
      <c r="L98" s="219"/>
      <c r="M98" s="219">
        <v>20</v>
      </c>
      <c r="N98" s="219">
        <v>7</v>
      </c>
      <c r="O98" s="147">
        <v>8</v>
      </c>
    </row>
    <row r="99" spans="4:15" s="318" customFormat="1" ht="19.5" x14ac:dyDescent="0.25">
      <c r="D99" s="319"/>
      <c r="E99" s="107">
        <v>72</v>
      </c>
      <c r="F99" s="219" t="s">
        <v>142</v>
      </c>
      <c r="G99" s="137"/>
      <c r="H99" s="137">
        <v>20</v>
      </c>
      <c r="I99" s="137"/>
      <c r="J99" s="137"/>
      <c r="K99" s="137"/>
      <c r="L99" s="219"/>
      <c r="M99" s="219">
        <v>20</v>
      </c>
      <c r="N99" s="219">
        <v>7</v>
      </c>
      <c r="O99" s="147">
        <v>8</v>
      </c>
    </row>
    <row r="100" spans="4:15" s="318" customFormat="1" ht="19.5" x14ac:dyDescent="0.25">
      <c r="D100" s="319"/>
      <c r="E100" s="107">
        <v>73</v>
      </c>
      <c r="F100" s="219" t="s">
        <v>142</v>
      </c>
      <c r="G100" s="137"/>
      <c r="H100" s="137">
        <v>20</v>
      </c>
      <c r="I100" s="137"/>
      <c r="J100" s="137"/>
      <c r="K100" s="137"/>
      <c r="L100" s="219"/>
      <c r="M100" s="219">
        <v>20</v>
      </c>
      <c r="N100" s="219">
        <v>7</v>
      </c>
      <c r="O100" s="147">
        <v>8</v>
      </c>
    </row>
    <row r="101" spans="4:15" s="318" customFormat="1" ht="19.5" x14ac:dyDescent="0.25">
      <c r="D101" s="319"/>
      <c r="E101" s="107">
        <v>74</v>
      </c>
      <c r="F101" s="219" t="s">
        <v>142</v>
      </c>
      <c r="G101" s="137"/>
      <c r="H101" s="137">
        <v>20</v>
      </c>
      <c r="I101" s="137"/>
      <c r="J101" s="137"/>
      <c r="K101" s="137"/>
      <c r="L101" s="219"/>
      <c r="M101" s="219">
        <v>20</v>
      </c>
      <c r="N101" s="219">
        <v>7</v>
      </c>
      <c r="O101" s="147">
        <v>8</v>
      </c>
    </row>
    <row r="102" spans="4:15" s="318" customFormat="1" ht="19.5" x14ac:dyDescent="0.25">
      <c r="D102" s="319"/>
      <c r="E102" s="107">
        <v>75</v>
      </c>
      <c r="F102" s="219" t="s">
        <v>142</v>
      </c>
      <c r="G102" s="137"/>
      <c r="H102" s="137">
        <v>20</v>
      </c>
      <c r="I102" s="137"/>
      <c r="J102" s="137"/>
      <c r="K102" s="137"/>
      <c r="L102" s="219"/>
      <c r="M102" s="219">
        <v>20</v>
      </c>
      <c r="N102" s="219">
        <v>7</v>
      </c>
      <c r="O102" s="147">
        <v>8</v>
      </c>
    </row>
    <row r="103" spans="4:15" s="318" customFormat="1" ht="19.5" x14ac:dyDescent="0.25">
      <c r="D103" s="319"/>
      <c r="E103" s="107">
        <v>76</v>
      </c>
      <c r="F103" s="219" t="s">
        <v>142</v>
      </c>
      <c r="G103" s="137"/>
      <c r="H103" s="137">
        <v>20</v>
      </c>
      <c r="I103" s="137"/>
      <c r="J103" s="137"/>
      <c r="K103" s="137"/>
      <c r="L103" s="219"/>
      <c r="M103" s="219">
        <v>20</v>
      </c>
      <c r="N103" s="219">
        <v>7</v>
      </c>
      <c r="O103" s="147">
        <v>8</v>
      </c>
    </row>
    <row r="104" spans="4:15" s="318" customFormat="1" ht="19.5" x14ac:dyDescent="0.25">
      <c r="D104" s="319"/>
      <c r="E104" s="107">
        <v>77</v>
      </c>
      <c r="F104" s="219" t="s">
        <v>142</v>
      </c>
      <c r="G104" s="137"/>
      <c r="H104" s="137">
        <v>20</v>
      </c>
      <c r="I104" s="137"/>
      <c r="J104" s="137"/>
      <c r="K104" s="137"/>
      <c r="L104" s="219"/>
      <c r="M104" s="219">
        <v>20</v>
      </c>
      <c r="N104" s="219">
        <v>7</v>
      </c>
      <c r="O104" s="147">
        <v>8</v>
      </c>
    </row>
    <row r="105" spans="4:15" s="318" customFormat="1" ht="19.5" x14ac:dyDescent="0.25">
      <c r="D105" s="319"/>
      <c r="E105" s="107">
        <v>78</v>
      </c>
      <c r="F105" s="219" t="s">
        <v>142</v>
      </c>
      <c r="G105" s="137"/>
      <c r="H105" s="137">
        <v>20</v>
      </c>
      <c r="I105" s="137"/>
      <c r="J105" s="137"/>
      <c r="K105" s="137"/>
      <c r="L105" s="219"/>
      <c r="M105" s="219">
        <v>20</v>
      </c>
      <c r="N105" s="219">
        <v>7</v>
      </c>
      <c r="O105" s="147">
        <v>8</v>
      </c>
    </row>
    <row r="106" spans="4:15" s="318" customFormat="1" ht="19.5" x14ac:dyDescent="0.25">
      <c r="D106" s="319"/>
      <c r="E106" s="107">
        <v>79</v>
      </c>
      <c r="F106" s="219" t="s">
        <v>142</v>
      </c>
      <c r="G106" s="137"/>
      <c r="H106" s="137">
        <v>20</v>
      </c>
      <c r="I106" s="137"/>
      <c r="J106" s="137"/>
      <c r="K106" s="137"/>
      <c r="L106" s="219"/>
      <c r="M106" s="219">
        <v>20</v>
      </c>
      <c r="N106" s="219">
        <v>7</v>
      </c>
      <c r="O106" s="147">
        <v>8</v>
      </c>
    </row>
    <row r="107" spans="4:15" s="318" customFormat="1" ht="19.5" x14ac:dyDescent="0.25">
      <c r="D107" s="319"/>
      <c r="E107" s="107">
        <v>80</v>
      </c>
      <c r="F107" s="219" t="s">
        <v>142</v>
      </c>
      <c r="G107" s="137"/>
      <c r="H107" s="137">
        <v>20</v>
      </c>
      <c r="I107" s="137"/>
      <c r="J107" s="137"/>
      <c r="K107" s="137"/>
      <c r="L107" s="219"/>
      <c r="M107" s="219">
        <v>20</v>
      </c>
      <c r="N107" s="219">
        <v>7</v>
      </c>
      <c r="O107" s="147">
        <v>8</v>
      </c>
    </row>
    <row r="108" spans="4:15" s="318" customFormat="1" ht="19.5" x14ac:dyDescent="0.25">
      <c r="D108" s="319"/>
      <c r="E108" s="107">
        <v>81</v>
      </c>
      <c r="F108" s="219" t="s">
        <v>142</v>
      </c>
      <c r="G108" s="137"/>
      <c r="H108" s="137"/>
      <c r="I108" s="137">
        <v>20</v>
      </c>
      <c r="J108" s="137"/>
      <c r="K108" s="137"/>
      <c r="L108" s="219"/>
      <c r="M108" s="219">
        <v>20</v>
      </c>
      <c r="N108" s="219">
        <v>8</v>
      </c>
      <c r="O108" s="147">
        <v>9</v>
      </c>
    </row>
    <row r="109" spans="4:15" s="318" customFormat="1" ht="19.5" x14ac:dyDescent="0.25">
      <c r="D109" s="319"/>
      <c r="E109" s="107">
        <v>82</v>
      </c>
      <c r="F109" s="219" t="s">
        <v>142</v>
      </c>
      <c r="G109" s="137"/>
      <c r="H109" s="137"/>
      <c r="I109" s="137">
        <v>20</v>
      </c>
      <c r="J109" s="137"/>
      <c r="K109" s="137"/>
      <c r="L109" s="219"/>
      <c r="M109" s="219">
        <v>20</v>
      </c>
      <c r="N109" s="219">
        <v>8</v>
      </c>
      <c r="O109" s="147">
        <v>9</v>
      </c>
    </row>
    <row r="110" spans="4:15" s="318" customFormat="1" ht="19.5" x14ac:dyDescent="0.25">
      <c r="D110" s="319"/>
      <c r="E110" s="107">
        <v>83</v>
      </c>
      <c r="F110" s="219" t="s">
        <v>142</v>
      </c>
      <c r="G110" s="137"/>
      <c r="H110" s="137"/>
      <c r="I110" s="137">
        <v>20</v>
      </c>
      <c r="J110" s="137"/>
      <c r="K110" s="137"/>
      <c r="L110" s="219"/>
      <c r="M110" s="219">
        <v>20</v>
      </c>
      <c r="N110" s="219">
        <v>8</v>
      </c>
      <c r="O110" s="147">
        <v>9</v>
      </c>
    </row>
    <row r="111" spans="4:15" s="318" customFormat="1" ht="19.5" x14ac:dyDescent="0.25">
      <c r="D111" s="319"/>
      <c r="E111" s="107">
        <v>84</v>
      </c>
      <c r="F111" s="219" t="s">
        <v>142</v>
      </c>
      <c r="G111" s="137"/>
      <c r="H111" s="137"/>
      <c r="I111" s="137">
        <v>20</v>
      </c>
      <c r="J111" s="137"/>
      <c r="K111" s="137"/>
      <c r="L111" s="219"/>
      <c r="M111" s="219">
        <v>20</v>
      </c>
      <c r="N111" s="219">
        <v>8</v>
      </c>
      <c r="O111" s="147">
        <v>9</v>
      </c>
    </row>
    <row r="112" spans="4:15" s="318" customFormat="1" ht="19.5" x14ac:dyDescent="0.25">
      <c r="D112" s="319"/>
      <c r="E112" s="107">
        <v>85</v>
      </c>
      <c r="F112" s="219" t="s">
        <v>142</v>
      </c>
      <c r="G112" s="137"/>
      <c r="H112" s="137"/>
      <c r="I112" s="137">
        <v>20</v>
      </c>
      <c r="J112" s="137"/>
      <c r="K112" s="137"/>
      <c r="L112" s="219"/>
      <c r="M112" s="219">
        <v>20</v>
      </c>
      <c r="N112" s="219">
        <v>8</v>
      </c>
      <c r="O112" s="147">
        <v>9</v>
      </c>
    </row>
    <row r="113" spans="4:15" s="318" customFormat="1" ht="19.5" x14ac:dyDescent="0.25">
      <c r="D113" s="319"/>
      <c r="E113" s="107">
        <v>86</v>
      </c>
      <c r="F113" s="219" t="s">
        <v>142</v>
      </c>
      <c r="G113" s="137"/>
      <c r="H113" s="137"/>
      <c r="I113" s="137">
        <v>20</v>
      </c>
      <c r="J113" s="137"/>
      <c r="K113" s="137"/>
      <c r="L113" s="219"/>
      <c r="M113" s="219">
        <v>20</v>
      </c>
      <c r="N113" s="219">
        <v>8</v>
      </c>
      <c r="O113" s="147">
        <v>9</v>
      </c>
    </row>
    <row r="114" spans="4:15" s="318" customFormat="1" ht="19.5" x14ac:dyDescent="0.25">
      <c r="D114" s="319"/>
      <c r="E114" s="107">
        <v>87</v>
      </c>
      <c r="F114" s="219" t="s">
        <v>142</v>
      </c>
      <c r="G114" s="137"/>
      <c r="H114" s="137"/>
      <c r="I114" s="137">
        <v>20</v>
      </c>
      <c r="J114" s="137"/>
      <c r="K114" s="137"/>
      <c r="L114" s="219"/>
      <c r="M114" s="219">
        <v>20</v>
      </c>
      <c r="N114" s="219">
        <v>8</v>
      </c>
      <c r="O114" s="147">
        <v>9</v>
      </c>
    </row>
    <row r="115" spans="4:15" s="318" customFormat="1" ht="19.5" x14ac:dyDescent="0.25">
      <c r="D115" s="319"/>
      <c r="E115" s="107">
        <v>88</v>
      </c>
      <c r="F115" s="219" t="s">
        <v>142</v>
      </c>
      <c r="G115" s="137"/>
      <c r="H115" s="137"/>
      <c r="I115" s="137">
        <v>20</v>
      </c>
      <c r="J115" s="137"/>
      <c r="K115" s="137"/>
      <c r="L115" s="219"/>
      <c r="M115" s="219">
        <v>20</v>
      </c>
      <c r="N115" s="219">
        <v>8</v>
      </c>
      <c r="O115" s="147">
        <v>9</v>
      </c>
    </row>
    <row r="116" spans="4:15" s="318" customFormat="1" ht="19.5" x14ac:dyDescent="0.25">
      <c r="D116" s="319"/>
      <c r="E116" s="107">
        <v>89</v>
      </c>
      <c r="F116" s="219" t="s">
        <v>142</v>
      </c>
      <c r="G116" s="137"/>
      <c r="H116" s="137"/>
      <c r="I116" s="137">
        <v>20</v>
      </c>
      <c r="J116" s="137"/>
      <c r="K116" s="137"/>
      <c r="L116" s="219"/>
      <c r="M116" s="219">
        <v>20</v>
      </c>
      <c r="N116" s="219">
        <v>8</v>
      </c>
      <c r="O116" s="147">
        <v>9</v>
      </c>
    </row>
    <row r="117" spans="4:15" s="318" customFormat="1" ht="19.5" x14ac:dyDescent="0.25">
      <c r="D117" s="319"/>
      <c r="E117" s="107">
        <v>90</v>
      </c>
      <c r="F117" s="219" t="s">
        <v>142</v>
      </c>
      <c r="G117" s="137"/>
      <c r="H117" s="137"/>
      <c r="I117" s="137">
        <v>20</v>
      </c>
      <c r="J117" s="137"/>
      <c r="K117" s="137"/>
      <c r="L117" s="219"/>
      <c r="M117" s="219">
        <v>20</v>
      </c>
      <c r="N117" s="219">
        <v>8</v>
      </c>
      <c r="O117" s="147">
        <v>9</v>
      </c>
    </row>
    <row r="118" spans="4:15" s="318" customFormat="1" ht="19.5" x14ac:dyDescent="0.25">
      <c r="D118" s="319"/>
      <c r="E118" s="107">
        <v>91</v>
      </c>
      <c r="F118" s="219" t="s">
        <v>142</v>
      </c>
      <c r="G118" s="137"/>
      <c r="H118" s="137"/>
      <c r="I118" s="137">
        <v>20</v>
      </c>
      <c r="J118" s="137"/>
      <c r="K118" s="137"/>
      <c r="L118" s="219"/>
      <c r="M118" s="219">
        <v>20</v>
      </c>
      <c r="N118" s="219">
        <v>8</v>
      </c>
      <c r="O118" s="147">
        <v>9</v>
      </c>
    </row>
    <row r="119" spans="4:15" s="318" customFormat="1" ht="19.5" x14ac:dyDescent="0.25">
      <c r="D119" s="319"/>
      <c r="E119" s="107">
        <v>92</v>
      </c>
      <c r="F119" s="219" t="s">
        <v>142</v>
      </c>
      <c r="G119" s="137"/>
      <c r="H119" s="137"/>
      <c r="I119" s="137">
        <v>20</v>
      </c>
      <c r="J119" s="137"/>
      <c r="K119" s="137"/>
      <c r="L119" s="219"/>
      <c r="M119" s="219">
        <v>20</v>
      </c>
      <c r="N119" s="219">
        <v>8</v>
      </c>
      <c r="O119" s="147">
        <v>9</v>
      </c>
    </row>
    <row r="120" spans="4:15" s="318" customFormat="1" ht="19.5" x14ac:dyDescent="0.25">
      <c r="D120" s="319"/>
      <c r="E120" s="107">
        <v>93</v>
      </c>
      <c r="F120" s="219" t="s">
        <v>142</v>
      </c>
      <c r="G120" s="137"/>
      <c r="H120" s="137"/>
      <c r="I120" s="137">
        <v>20</v>
      </c>
      <c r="J120" s="137"/>
      <c r="K120" s="137"/>
      <c r="L120" s="219"/>
      <c r="M120" s="219">
        <v>20</v>
      </c>
      <c r="N120" s="219">
        <v>8</v>
      </c>
      <c r="O120" s="147">
        <v>9</v>
      </c>
    </row>
    <row r="121" spans="4:15" s="318" customFormat="1" ht="19.5" x14ac:dyDescent="0.25">
      <c r="D121" s="319"/>
      <c r="E121" s="107">
        <v>94</v>
      </c>
      <c r="F121" s="219" t="s">
        <v>142</v>
      </c>
      <c r="G121" s="137"/>
      <c r="H121" s="137"/>
      <c r="I121" s="137">
        <v>20</v>
      </c>
      <c r="J121" s="137"/>
      <c r="K121" s="137"/>
      <c r="L121" s="219"/>
      <c r="M121" s="219">
        <v>20</v>
      </c>
      <c r="N121" s="219">
        <v>8</v>
      </c>
      <c r="O121" s="147">
        <v>9</v>
      </c>
    </row>
    <row r="122" spans="4:15" s="318" customFormat="1" ht="19.5" x14ac:dyDescent="0.25">
      <c r="D122" s="319"/>
      <c r="E122" s="107">
        <v>95</v>
      </c>
      <c r="F122" s="219" t="s">
        <v>142</v>
      </c>
      <c r="G122" s="137"/>
      <c r="H122" s="137"/>
      <c r="I122" s="137">
        <v>22</v>
      </c>
      <c r="J122" s="137"/>
      <c r="K122" s="137"/>
      <c r="L122" s="219"/>
      <c r="M122" s="219">
        <v>22</v>
      </c>
      <c r="N122" s="219">
        <v>8.8000000000000007</v>
      </c>
      <c r="O122" s="147">
        <v>9.8000000000000007</v>
      </c>
    </row>
    <row r="123" spans="4:15" s="318" customFormat="1" ht="19.5" x14ac:dyDescent="0.25">
      <c r="D123" s="319"/>
      <c r="E123" s="107">
        <v>96</v>
      </c>
      <c r="F123" s="219" t="s">
        <v>142</v>
      </c>
      <c r="G123" s="137"/>
      <c r="H123" s="137"/>
      <c r="I123" s="137">
        <v>24</v>
      </c>
      <c r="J123" s="137"/>
      <c r="K123" s="137"/>
      <c r="L123" s="219"/>
      <c r="M123" s="219">
        <v>24</v>
      </c>
      <c r="N123" s="219">
        <v>9.6000000000000014</v>
      </c>
      <c r="O123" s="147">
        <v>10.600000000000001</v>
      </c>
    </row>
    <row r="124" spans="4:15" s="318" customFormat="1" ht="19.5" x14ac:dyDescent="0.25">
      <c r="D124" s="319"/>
      <c r="E124" s="107">
        <v>97</v>
      </c>
      <c r="F124" s="219" t="s">
        <v>142</v>
      </c>
      <c r="G124" s="137"/>
      <c r="H124" s="137"/>
      <c r="I124" s="137"/>
      <c r="J124" s="137">
        <v>20</v>
      </c>
      <c r="K124" s="137"/>
      <c r="L124" s="219"/>
      <c r="M124" s="219">
        <v>20</v>
      </c>
      <c r="N124" s="219">
        <v>9</v>
      </c>
      <c r="O124" s="147">
        <v>10</v>
      </c>
    </row>
    <row r="125" spans="4:15" s="318" customFormat="1" ht="19.5" x14ac:dyDescent="0.25">
      <c r="D125" s="319"/>
      <c r="E125" s="107">
        <v>98</v>
      </c>
      <c r="F125" s="219" t="s">
        <v>142</v>
      </c>
      <c r="G125" s="137"/>
      <c r="H125" s="137"/>
      <c r="I125" s="137"/>
      <c r="J125" s="137">
        <v>20</v>
      </c>
      <c r="K125" s="137"/>
      <c r="L125" s="219"/>
      <c r="M125" s="219">
        <v>20</v>
      </c>
      <c r="N125" s="219">
        <v>9</v>
      </c>
      <c r="O125" s="147">
        <v>10</v>
      </c>
    </row>
    <row r="126" spans="4:15" s="318" customFormat="1" ht="19.5" x14ac:dyDescent="0.25">
      <c r="D126" s="319"/>
      <c r="E126" s="107">
        <v>99</v>
      </c>
      <c r="F126" s="219" t="s">
        <v>142</v>
      </c>
      <c r="G126" s="137"/>
      <c r="H126" s="137"/>
      <c r="I126" s="137"/>
      <c r="J126" s="137">
        <v>20</v>
      </c>
      <c r="K126" s="137"/>
      <c r="L126" s="219"/>
      <c r="M126" s="219">
        <v>20</v>
      </c>
      <c r="N126" s="219">
        <v>9</v>
      </c>
      <c r="O126" s="147">
        <v>10</v>
      </c>
    </row>
    <row r="127" spans="4:15" s="318" customFormat="1" ht="19.5" x14ac:dyDescent="0.25">
      <c r="D127" s="319"/>
      <c r="E127" s="107">
        <v>100</v>
      </c>
      <c r="F127" s="219" t="s">
        <v>142</v>
      </c>
      <c r="G127" s="137"/>
      <c r="H127" s="137"/>
      <c r="I127" s="137"/>
      <c r="J127" s="137">
        <v>20</v>
      </c>
      <c r="K127" s="137"/>
      <c r="L127" s="219"/>
      <c r="M127" s="219">
        <v>20</v>
      </c>
      <c r="N127" s="219">
        <v>9</v>
      </c>
      <c r="O127" s="147">
        <v>10</v>
      </c>
    </row>
    <row r="128" spans="4:15" s="318" customFormat="1" ht="19.5" x14ac:dyDescent="0.25">
      <c r="D128" s="319"/>
      <c r="E128" s="107">
        <v>101</v>
      </c>
      <c r="F128" s="219" t="s">
        <v>142</v>
      </c>
      <c r="G128" s="137"/>
      <c r="H128" s="137"/>
      <c r="I128" s="137"/>
      <c r="J128" s="137">
        <v>20</v>
      </c>
      <c r="K128" s="137"/>
      <c r="L128" s="219"/>
      <c r="M128" s="219">
        <v>20</v>
      </c>
      <c r="N128" s="219">
        <v>9</v>
      </c>
      <c r="O128" s="147">
        <v>10</v>
      </c>
    </row>
    <row r="129" spans="4:15" s="318" customFormat="1" ht="19.5" x14ac:dyDescent="0.25">
      <c r="D129" s="319"/>
      <c r="E129" s="107">
        <v>102</v>
      </c>
      <c r="F129" s="219" t="s">
        <v>142</v>
      </c>
      <c r="G129" s="137"/>
      <c r="H129" s="137"/>
      <c r="I129" s="137"/>
      <c r="J129" s="137">
        <v>20</v>
      </c>
      <c r="K129" s="137"/>
      <c r="L129" s="219"/>
      <c r="M129" s="219">
        <v>20</v>
      </c>
      <c r="N129" s="219">
        <v>9</v>
      </c>
      <c r="O129" s="147">
        <v>10</v>
      </c>
    </row>
    <row r="130" spans="4:15" s="318" customFormat="1" ht="19.5" x14ac:dyDescent="0.25">
      <c r="D130" s="319"/>
      <c r="E130" s="107">
        <v>103</v>
      </c>
      <c r="F130" s="219" t="s">
        <v>142</v>
      </c>
      <c r="G130" s="137"/>
      <c r="H130" s="137"/>
      <c r="I130" s="137"/>
      <c r="J130" s="137">
        <v>20</v>
      </c>
      <c r="K130" s="137"/>
      <c r="L130" s="219"/>
      <c r="M130" s="219">
        <v>20</v>
      </c>
      <c r="N130" s="219">
        <v>9</v>
      </c>
      <c r="O130" s="147">
        <v>10</v>
      </c>
    </row>
    <row r="131" spans="4:15" s="318" customFormat="1" ht="19.5" x14ac:dyDescent="0.25">
      <c r="D131" s="319"/>
      <c r="E131" s="107">
        <v>104</v>
      </c>
      <c r="F131" s="219" t="s">
        <v>142</v>
      </c>
      <c r="G131" s="137"/>
      <c r="H131" s="137"/>
      <c r="I131" s="137"/>
      <c r="J131" s="137">
        <v>20</v>
      </c>
      <c r="K131" s="137"/>
      <c r="L131" s="219"/>
      <c r="M131" s="219">
        <v>20</v>
      </c>
      <c r="N131" s="219">
        <v>9</v>
      </c>
      <c r="O131" s="147">
        <v>10</v>
      </c>
    </row>
    <row r="132" spans="4:15" s="318" customFormat="1" ht="19.5" x14ac:dyDescent="0.25">
      <c r="D132" s="319"/>
      <c r="E132" s="107">
        <v>105</v>
      </c>
      <c r="F132" s="219" t="s">
        <v>142</v>
      </c>
      <c r="G132" s="137"/>
      <c r="H132" s="137"/>
      <c r="I132" s="137"/>
      <c r="J132" s="137">
        <v>20</v>
      </c>
      <c r="K132" s="137"/>
      <c r="L132" s="219"/>
      <c r="M132" s="219">
        <v>20</v>
      </c>
      <c r="N132" s="219">
        <v>9</v>
      </c>
      <c r="O132" s="147">
        <v>10</v>
      </c>
    </row>
    <row r="133" spans="4:15" s="318" customFormat="1" ht="19.5" x14ac:dyDescent="0.25">
      <c r="D133" s="319"/>
      <c r="E133" s="107">
        <v>106</v>
      </c>
      <c r="F133" s="219" t="s">
        <v>142</v>
      </c>
      <c r="G133" s="137"/>
      <c r="H133" s="137"/>
      <c r="I133" s="137"/>
      <c r="J133" s="137">
        <v>20</v>
      </c>
      <c r="K133" s="137"/>
      <c r="L133" s="219"/>
      <c r="M133" s="219">
        <v>20</v>
      </c>
      <c r="N133" s="219">
        <v>9</v>
      </c>
      <c r="O133" s="147">
        <v>10</v>
      </c>
    </row>
    <row r="134" spans="4:15" s="318" customFormat="1" ht="19.5" x14ac:dyDescent="0.25">
      <c r="D134" s="319"/>
      <c r="E134" s="107">
        <v>107</v>
      </c>
      <c r="F134" s="219" t="s">
        <v>142</v>
      </c>
      <c r="G134" s="137"/>
      <c r="H134" s="137"/>
      <c r="I134" s="137"/>
      <c r="J134" s="137">
        <v>20</v>
      </c>
      <c r="K134" s="137"/>
      <c r="L134" s="219"/>
      <c r="M134" s="219">
        <v>20</v>
      </c>
      <c r="N134" s="219">
        <v>9</v>
      </c>
      <c r="O134" s="147">
        <v>10</v>
      </c>
    </row>
    <row r="135" spans="4:15" s="318" customFormat="1" ht="19.5" x14ac:dyDescent="0.25">
      <c r="D135" s="319"/>
      <c r="E135" s="107">
        <v>108</v>
      </c>
      <c r="F135" s="219" t="s">
        <v>142</v>
      </c>
      <c r="G135" s="137"/>
      <c r="H135" s="137"/>
      <c r="I135" s="137"/>
      <c r="J135" s="137">
        <v>20</v>
      </c>
      <c r="K135" s="137"/>
      <c r="L135" s="219"/>
      <c r="M135" s="219">
        <v>20</v>
      </c>
      <c r="N135" s="219">
        <v>9</v>
      </c>
      <c r="O135" s="147">
        <v>10</v>
      </c>
    </row>
    <row r="136" spans="4:15" s="318" customFormat="1" ht="19.5" x14ac:dyDescent="0.25">
      <c r="D136" s="319"/>
      <c r="E136" s="107">
        <v>109</v>
      </c>
      <c r="F136" s="219" t="s">
        <v>142</v>
      </c>
      <c r="G136" s="137"/>
      <c r="H136" s="137"/>
      <c r="I136" s="137"/>
      <c r="J136" s="137">
        <v>20</v>
      </c>
      <c r="K136" s="137"/>
      <c r="L136" s="219"/>
      <c r="M136" s="219">
        <v>20</v>
      </c>
      <c r="N136" s="219">
        <v>9</v>
      </c>
      <c r="O136" s="147">
        <v>10</v>
      </c>
    </row>
    <row r="137" spans="4:15" s="318" customFormat="1" ht="19.5" x14ac:dyDescent="0.25">
      <c r="D137" s="319"/>
      <c r="E137" s="107">
        <v>110</v>
      </c>
      <c r="F137" s="219" t="s">
        <v>142</v>
      </c>
      <c r="G137" s="137"/>
      <c r="H137" s="137"/>
      <c r="I137" s="137"/>
      <c r="J137" s="137"/>
      <c r="K137" s="137">
        <v>20</v>
      </c>
      <c r="L137" s="219"/>
      <c r="M137" s="219">
        <v>20</v>
      </c>
      <c r="N137" s="219">
        <v>10</v>
      </c>
      <c r="O137" s="147">
        <v>11</v>
      </c>
    </row>
    <row r="138" spans="4:15" s="318" customFormat="1" ht="19.5" x14ac:dyDescent="0.25">
      <c r="D138" s="319"/>
      <c r="E138" s="107">
        <v>111</v>
      </c>
      <c r="F138" s="219" t="s">
        <v>142</v>
      </c>
      <c r="G138" s="137"/>
      <c r="H138" s="137"/>
      <c r="I138" s="137"/>
      <c r="J138" s="137"/>
      <c r="K138" s="137">
        <v>20</v>
      </c>
      <c r="L138" s="219"/>
      <c r="M138" s="219">
        <v>20</v>
      </c>
      <c r="N138" s="219">
        <v>10</v>
      </c>
      <c r="O138" s="147">
        <v>11</v>
      </c>
    </row>
    <row r="139" spans="4:15" s="318" customFormat="1" ht="19.5" x14ac:dyDescent="0.25">
      <c r="D139" s="319"/>
      <c r="E139" s="107">
        <v>112</v>
      </c>
      <c r="F139" s="219" t="s">
        <v>142</v>
      </c>
      <c r="G139" s="137"/>
      <c r="H139" s="137"/>
      <c r="I139" s="137"/>
      <c r="J139" s="137"/>
      <c r="K139" s="137">
        <v>20</v>
      </c>
      <c r="L139" s="219"/>
      <c r="M139" s="219">
        <v>20</v>
      </c>
      <c r="N139" s="219">
        <v>10</v>
      </c>
      <c r="O139" s="147">
        <v>11</v>
      </c>
    </row>
    <row r="140" spans="4:15" s="318" customFormat="1" ht="19.5" x14ac:dyDescent="0.25">
      <c r="D140" s="319"/>
      <c r="E140" s="107">
        <v>113</v>
      </c>
      <c r="F140" s="219" t="s">
        <v>142</v>
      </c>
      <c r="G140" s="137"/>
      <c r="H140" s="137"/>
      <c r="I140" s="137"/>
      <c r="J140" s="137"/>
      <c r="K140" s="137">
        <v>20</v>
      </c>
      <c r="L140" s="219"/>
      <c r="M140" s="219">
        <v>20</v>
      </c>
      <c r="N140" s="219">
        <v>10</v>
      </c>
      <c r="O140" s="147">
        <v>11</v>
      </c>
    </row>
    <row r="141" spans="4:15" s="318" customFormat="1" ht="19.5" x14ac:dyDescent="0.25">
      <c r="D141" s="319"/>
      <c r="E141" s="107">
        <v>114</v>
      </c>
      <c r="F141" s="219" t="s">
        <v>142</v>
      </c>
      <c r="G141" s="137"/>
      <c r="H141" s="137"/>
      <c r="I141" s="137"/>
      <c r="J141" s="137"/>
      <c r="K141" s="137">
        <v>20</v>
      </c>
      <c r="L141" s="219"/>
      <c r="M141" s="219">
        <v>20</v>
      </c>
      <c r="N141" s="219">
        <v>10</v>
      </c>
      <c r="O141" s="147">
        <v>11</v>
      </c>
    </row>
    <row r="142" spans="4:15" s="318" customFormat="1" ht="19.5" x14ac:dyDescent="0.25">
      <c r="D142" s="319"/>
      <c r="E142" s="107">
        <v>115</v>
      </c>
      <c r="F142" s="219" t="s">
        <v>142</v>
      </c>
      <c r="G142" s="137"/>
      <c r="H142" s="137"/>
      <c r="I142" s="137"/>
      <c r="J142" s="137"/>
      <c r="K142" s="137">
        <v>20</v>
      </c>
      <c r="L142" s="219"/>
      <c r="M142" s="219">
        <v>20</v>
      </c>
      <c r="N142" s="219">
        <v>10</v>
      </c>
      <c r="O142" s="147">
        <v>11</v>
      </c>
    </row>
    <row r="143" spans="4:15" s="318" customFormat="1" ht="19.5" x14ac:dyDescent="0.25">
      <c r="D143" s="319"/>
      <c r="E143" s="107">
        <v>116</v>
      </c>
      <c r="F143" s="219" t="s">
        <v>142</v>
      </c>
      <c r="G143" s="137"/>
      <c r="H143" s="137"/>
      <c r="I143" s="137"/>
      <c r="J143" s="137"/>
      <c r="K143" s="137">
        <v>20</v>
      </c>
      <c r="L143" s="219"/>
      <c r="M143" s="219">
        <v>20</v>
      </c>
      <c r="N143" s="219">
        <v>10</v>
      </c>
      <c r="O143" s="147">
        <v>11</v>
      </c>
    </row>
    <row r="144" spans="4:15" s="318" customFormat="1" ht="19.5" x14ac:dyDescent="0.25">
      <c r="D144" s="319"/>
      <c r="E144" s="107">
        <v>117</v>
      </c>
      <c r="F144" s="219" t="s">
        <v>142</v>
      </c>
      <c r="G144" s="137"/>
      <c r="H144" s="137"/>
      <c r="I144" s="137"/>
      <c r="J144" s="137"/>
      <c r="K144" s="137">
        <v>24</v>
      </c>
      <c r="L144" s="219"/>
      <c r="M144" s="219">
        <v>24</v>
      </c>
      <c r="N144" s="219">
        <v>12</v>
      </c>
      <c r="O144" s="147">
        <v>13</v>
      </c>
    </row>
    <row r="145" spans="4:16" s="318" customFormat="1" ht="19.5" x14ac:dyDescent="0.25">
      <c r="D145" s="319"/>
      <c r="E145" s="107">
        <v>118</v>
      </c>
      <c r="F145" s="219" t="s">
        <v>142</v>
      </c>
      <c r="G145" s="137"/>
      <c r="H145" s="137"/>
      <c r="I145" s="137"/>
      <c r="J145" s="137"/>
      <c r="K145" s="137"/>
      <c r="L145" s="219">
        <v>20</v>
      </c>
      <c r="M145" s="219">
        <v>20</v>
      </c>
      <c r="N145" s="219">
        <v>11</v>
      </c>
      <c r="O145" s="147">
        <v>12</v>
      </c>
    </row>
    <row r="146" spans="4:16" s="318" customFormat="1" ht="19.5" x14ac:dyDescent="0.25">
      <c r="D146" s="319"/>
      <c r="E146" s="107">
        <v>119</v>
      </c>
      <c r="F146" s="219" t="s">
        <v>142</v>
      </c>
      <c r="G146" s="137"/>
      <c r="H146" s="137"/>
      <c r="I146" s="137"/>
      <c r="J146" s="137"/>
      <c r="K146" s="137"/>
      <c r="L146" s="219">
        <v>20</v>
      </c>
      <c r="M146" s="219">
        <v>20</v>
      </c>
      <c r="N146" s="219">
        <v>11</v>
      </c>
      <c r="O146" s="147">
        <v>12</v>
      </c>
    </row>
    <row r="147" spans="4:16" s="318" customFormat="1" ht="19.5" x14ac:dyDescent="0.25">
      <c r="D147" s="319"/>
      <c r="E147" s="107">
        <v>120</v>
      </c>
      <c r="F147" s="219" t="s">
        <v>142</v>
      </c>
      <c r="G147" s="137"/>
      <c r="H147" s="137"/>
      <c r="I147" s="137"/>
      <c r="J147" s="137"/>
      <c r="K147" s="137"/>
      <c r="L147" s="219">
        <v>20</v>
      </c>
      <c r="M147" s="219">
        <v>20</v>
      </c>
      <c r="N147" s="219">
        <v>11</v>
      </c>
      <c r="O147" s="147">
        <v>12</v>
      </c>
    </row>
    <row r="148" spans="4:16" s="318" customFormat="1" ht="20.25" thickBot="1" x14ac:dyDescent="0.3">
      <c r="D148" s="319"/>
      <c r="E148" s="127"/>
      <c r="F148" s="202"/>
      <c r="G148" s="311"/>
      <c r="H148" s="311"/>
      <c r="I148" s="311"/>
      <c r="J148" s="311"/>
      <c r="K148" s="311"/>
      <c r="L148" s="311"/>
      <c r="M148" s="265">
        <v>2433</v>
      </c>
      <c r="N148" s="265">
        <v>1014.35</v>
      </c>
      <c r="O148" s="265">
        <v>1134.3499999999999</v>
      </c>
    </row>
    <row r="149" spans="4:16" s="318" customFormat="1" ht="19.5" x14ac:dyDescent="0.25">
      <c r="D149" s="319"/>
      <c r="E149" s="233"/>
      <c r="F149" s="115"/>
      <c r="G149" s="162" t="s">
        <v>131</v>
      </c>
      <c r="H149" s="162" t="s">
        <v>132</v>
      </c>
      <c r="I149" s="162" t="s">
        <v>133</v>
      </c>
      <c r="J149" s="162" t="s">
        <v>134</v>
      </c>
      <c r="K149" s="162" t="s">
        <v>135</v>
      </c>
      <c r="L149" s="162" t="s">
        <v>136</v>
      </c>
      <c r="M149" s="239" t="s">
        <v>137</v>
      </c>
      <c r="N149" s="114"/>
      <c r="O149" s="114"/>
    </row>
    <row r="150" spans="4:16" s="318" customFormat="1" ht="19.5" x14ac:dyDescent="0.25">
      <c r="D150" s="319"/>
      <c r="E150" s="233"/>
      <c r="F150" s="219" t="s">
        <v>141</v>
      </c>
      <c r="G150" s="219">
        <v>61</v>
      </c>
      <c r="H150" s="219">
        <v>265</v>
      </c>
      <c r="I150" s="219">
        <v>347</v>
      </c>
      <c r="J150" s="219">
        <v>286</v>
      </c>
      <c r="K150" s="219">
        <v>219</v>
      </c>
      <c r="L150" s="219">
        <v>39</v>
      </c>
      <c r="M150" s="219">
        <v>1217</v>
      </c>
      <c r="N150" s="114"/>
      <c r="O150" s="114"/>
    </row>
    <row r="151" spans="4:16" s="318" customFormat="1" ht="19.5" x14ac:dyDescent="0.25">
      <c r="D151" s="319"/>
      <c r="E151" s="233"/>
      <c r="F151" s="219" t="s">
        <v>142</v>
      </c>
      <c r="G151" s="219">
        <v>103</v>
      </c>
      <c r="H151" s="219">
        <v>260</v>
      </c>
      <c r="I151" s="219">
        <v>335</v>
      </c>
      <c r="J151" s="219">
        <v>274</v>
      </c>
      <c r="K151" s="219">
        <v>171</v>
      </c>
      <c r="L151" s="219">
        <v>73</v>
      </c>
      <c r="M151" s="219">
        <v>1216</v>
      </c>
      <c r="N151" s="114"/>
      <c r="O151" s="114"/>
    </row>
    <row r="152" spans="4:16" ht="15.75" x14ac:dyDescent="0.25">
      <c r="D152" s="4"/>
      <c r="E152" s="319"/>
      <c r="F152" s="319"/>
      <c r="G152" s="319"/>
      <c r="H152" s="318"/>
      <c r="I152" s="318"/>
      <c r="J152" s="318"/>
      <c r="K152" s="318"/>
      <c r="L152" s="318"/>
      <c r="M152" s="318"/>
      <c r="N152" s="318"/>
      <c r="O152" s="318"/>
    </row>
    <row r="153" spans="4:16" ht="15.75" x14ac:dyDescent="0.25">
      <c r="D153" s="4" t="s">
        <v>62</v>
      </c>
      <c r="E153" s="319" t="s">
        <v>87</v>
      </c>
      <c r="F153" s="319"/>
      <c r="G153" s="319"/>
      <c r="H153" s="318"/>
      <c r="I153" s="318"/>
      <c r="J153" s="318"/>
      <c r="K153" s="129">
        <v>305</v>
      </c>
      <c r="L153" s="320" t="s">
        <v>143</v>
      </c>
      <c r="M153" s="129">
        <v>71</v>
      </c>
      <c r="N153" s="320" t="s">
        <v>144</v>
      </c>
      <c r="O153" s="129">
        <v>78</v>
      </c>
      <c r="P153" s="320" t="s">
        <v>144</v>
      </c>
    </row>
    <row r="154" spans="4:16" ht="15.75" x14ac:dyDescent="0.25">
      <c r="D154" s="4"/>
      <c r="E154" s="319" t="s">
        <v>88</v>
      </c>
      <c r="F154" s="319"/>
      <c r="G154" s="319"/>
      <c r="H154" s="318"/>
      <c r="I154" s="318"/>
      <c r="J154" s="318"/>
      <c r="K154" s="318"/>
      <c r="L154" s="318"/>
      <c r="M154" s="318"/>
      <c r="N154" s="318"/>
      <c r="O154" s="318"/>
    </row>
    <row r="155" spans="4:16" ht="15.75" x14ac:dyDescent="0.25">
      <c r="D155" s="4"/>
      <c r="E155" s="319" t="s">
        <v>111</v>
      </c>
      <c r="F155" s="321"/>
      <c r="G155" s="319"/>
      <c r="H155" s="318"/>
      <c r="I155" s="318"/>
      <c r="J155" s="318"/>
      <c r="K155" s="318"/>
      <c r="L155" s="318"/>
      <c r="M155" s="318"/>
      <c r="N155" s="318"/>
      <c r="O155" s="318"/>
    </row>
    <row r="156" spans="4:16" ht="15.75" x14ac:dyDescent="0.25">
      <c r="D156" s="4"/>
      <c r="E156" s="319" t="s">
        <v>112</v>
      </c>
      <c r="F156" s="321"/>
      <c r="G156" s="319"/>
      <c r="H156" s="318"/>
      <c r="I156" s="318"/>
      <c r="J156" s="318"/>
      <c r="K156" s="318"/>
      <c r="L156" s="318"/>
      <c r="M156" s="318"/>
      <c r="N156" s="318"/>
      <c r="O156" s="318"/>
    </row>
    <row r="157" spans="4:16" ht="16.5" thickBot="1" x14ac:dyDescent="0.3">
      <c r="D157" s="4"/>
      <c r="E157" s="319" t="s">
        <v>89</v>
      </c>
      <c r="F157" s="319"/>
      <c r="G157" s="319"/>
      <c r="H157" s="318"/>
      <c r="I157" s="318"/>
      <c r="J157" s="318"/>
      <c r="K157" s="318"/>
      <c r="L157" s="318"/>
      <c r="M157" s="318"/>
      <c r="N157" s="318"/>
      <c r="O157" s="318"/>
    </row>
    <row r="158" spans="4:16" s="318" customFormat="1" ht="16.5" x14ac:dyDescent="0.25">
      <c r="D158" s="319"/>
      <c r="E158" s="122" t="s">
        <v>129</v>
      </c>
      <c r="F158" s="175" t="s">
        <v>130</v>
      </c>
      <c r="G158" s="167" t="s">
        <v>132</v>
      </c>
      <c r="H158" s="167" t="s">
        <v>133</v>
      </c>
      <c r="I158" s="167" t="s">
        <v>134</v>
      </c>
      <c r="J158" s="167" t="s">
        <v>135</v>
      </c>
      <c r="K158" s="167" t="s">
        <v>145</v>
      </c>
      <c r="L158" s="167" t="s">
        <v>146</v>
      </c>
      <c r="M158" s="184" t="s">
        <v>137</v>
      </c>
      <c r="N158" s="220" t="s">
        <v>138</v>
      </c>
      <c r="O158" s="143" t="s">
        <v>139</v>
      </c>
    </row>
    <row r="159" spans="4:16" s="318" customFormat="1" ht="15.75" x14ac:dyDescent="0.25">
      <c r="D159" s="319"/>
      <c r="E159" s="250"/>
      <c r="F159" s="275"/>
      <c r="G159" s="154"/>
      <c r="H159" s="154" t="s">
        <v>133</v>
      </c>
      <c r="I159" s="154" t="s">
        <v>134</v>
      </c>
      <c r="J159" s="154" t="s">
        <v>135</v>
      </c>
      <c r="K159" s="154" t="s">
        <v>145</v>
      </c>
      <c r="L159" s="154" t="s">
        <v>146</v>
      </c>
      <c r="M159" s="153" t="s">
        <v>140</v>
      </c>
      <c r="N159" s="126" t="s">
        <v>26</v>
      </c>
      <c r="O159" s="289" t="s">
        <v>26</v>
      </c>
    </row>
    <row r="160" spans="4:16" s="318" customFormat="1" ht="19.5" hidden="1" x14ac:dyDescent="0.25">
      <c r="D160" s="319"/>
      <c r="E160" s="140"/>
      <c r="F160" s="155"/>
      <c r="G160" s="300">
        <v>0.18</v>
      </c>
      <c r="H160" s="300">
        <v>0.19</v>
      </c>
      <c r="I160" s="300">
        <v>0.2</v>
      </c>
      <c r="J160" s="300">
        <v>0.21</v>
      </c>
      <c r="K160" s="300">
        <v>0.22</v>
      </c>
      <c r="L160" s="300">
        <v>0.23</v>
      </c>
      <c r="M160" s="155"/>
      <c r="N160" s="230"/>
      <c r="O160" s="248"/>
    </row>
    <row r="161" spans="4:16" s="318" customFormat="1" ht="19.5" x14ac:dyDescent="0.25">
      <c r="D161" s="319"/>
      <c r="E161" s="140">
        <v>1</v>
      </c>
      <c r="F161" s="230" t="s">
        <v>147</v>
      </c>
      <c r="G161" s="300"/>
      <c r="H161" s="300"/>
      <c r="I161" s="300">
        <v>50</v>
      </c>
      <c r="J161" s="300"/>
      <c r="K161" s="300"/>
      <c r="L161" s="300"/>
      <c r="M161" s="230">
        <v>50</v>
      </c>
      <c r="N161" s="230">
        <v>11</v>
      </c>
      <c r="O161" s="248">
        <v>12</v>
      </c>
    </row>
    <row r="162" spans="4:16" s="318" customFormat="1" ht="19.5" x14ac:dyDescent="0.25">
      <c r="D162" s="319"/>
      <c r="E162" s="140">
        <v>2</v>
      </c>
      <c r="F162" s="230" t="s">
        <v>147</v>
      </c>
      <c r="G162" s="300"/>
      <c r="H162" s="300"/>
      <c r="I162" s="300"/>
      <c r="J162" s="300">
        <v>48</v>
      </c>
      <c r="K162" s="300"/>
      <c r="L162" s="300"/>
      <c r="M162" s="230">
        <v>48</v>
      </c>
      <c r="N162" s="230">
        <v>11</v>
      </c>
      <c r="O162" s="248">
        <v>12</v>
      </c>
    </row>
    <row r="163" spans="4:16" s="318" customFormat="1" ht="19.5" x14ac:dyDescent="0.25">
      <c r="D163" s="319"/>
      <c r="E163" s="140">
        <v>3</v>
      </c>
      <c r="F163" s="230" t="s">
        <v>147</v>
      </c>
      <c r="G163" s="300"/>
      <c r="H163" s="300"/>
      <c r="I163" s="300"/>
      <c r="J163" s="300">
        <v>48</v>
      </c>
      <c r="K163" s="300"/>
      <c r="L163" s="300"/>
      <c r="M163" s="230">
        <v>48</v>
      </c>
      <c r="N163" s="230">
        <v>11</v>
      </c>
      <c r="O163" s="248">
        <v>12</v>
      </c>
    </row>
    <row r="164" spans="4:16" s="318" customFormat="1" ht="19.5" x14ac:dyDescent="0.25">
      <c r="D164" s="319"/>
      <c r="E164" s="140">
        <v>4</v>
      </c>
      <c r="F164" s="230" t="s">
        <v>147</v>
      </c>
      <c r="G164" s="300"/>
      <c r="H164" s="300"/>
      <c r="I164" s="300"/>
      <c r="J164" s="300"/>
      <c r="K164" s="300">
        <v>42</v>
      </c>
      <c r="L164" s="300"/>
      <c r="M164" s="230">
        <v>42</v>
      </c>
      <c r="N164" s="230">
        <v>11</v>
      </c>
      <c r="O164" s="248">
        <v>12</v>
      </c>
    </row>
    <row r="165" spans="4:16" s="318" customFormat="1" ht="19.5" x14ac:dyDescent="0.25">
      <c r="D165" s="319"/>
      <c r="E165" s="140">
        <v>5</v>
      </c>
      <c r="F165" s="230" t="s">
        <v>147</v>
      </c>
      <c r="G165" s="300"/>
      <c r="H165" s="300"/>
      <c r="I165" s="300">
        <v>33</v>
      </c>
      <c r="J165" s="300">
        <v>16</v>
      </c>
      <c r="K165" s="300"/>
      <c r="L165" s="300"/>
      <c r="M165" s="230">
        <v>49</v>
      </c>
      <c r="N165" s="230">
        <v>11</v>
      </c>
      <c r="O165" s="248">
        <v>12</v>
      </c>
    </row>
    <row r="166" spans="4:16" s="318" customFormat="1" ht="19.5" x14ac:dyDescent="0.25">
      <c r="D166" s="319"/>
      <c r="E166" s="140">
        <v>6</v>
      </c>
      <c r="F166" s="230" t="s">
        <v>147</v>
      </c>
      <c r="G166" s="300"/>
      <c r="H166" s="300">
        <v>27</v>
      </c>
      <c r="I166" s="300"/>
      <c r="J166" s="300"/>
      <c r="K166" s="300">
        <v>10</v>
      </c>
      <c r="L166" s="300"/>
      <c r="M166" s="230">
        <v>37</v>
      </c>
      <c r="N166" s="230">
        <v>8</v>
      </c>
      <c r="O166" s="248">
        <v>9</v>
      </c>
    </row>
    <row r="167" spans="4:16" s="318" customFormat="1" ht="19.5" x14ac:dyDescent="0.25">
      <c r="D167" s="319"/>
      <c r="E167" s="140">
        <v>7</v>
      </c>
      <c r="F167" s="230" t="s">
        <v>147</v>
      </c>
      <c r="G167" s="300">
        <v>4</v>
      </c>
      <c r="H167" s="300"/>
      <c r="I167" s="300"/>
      <c r="J167" s="300"/>
      <c r="K167" s="300"/>
      <c r="L167" s="300">
        <v>27</v>
      </c>
      <c r="M167" s="230">
        <v>31</v>
      </c>
      <c r="N167" s="230">
        <v>8</v>
      </c>
      <c r="O167" s="248">
        <v>9</v>
      </c>
    </row>
    <row r="168" spans="4:16" s="318" customFormat="1" ht="20.25" thickBot="1" x14ac:dyDescent="0.3">
      <c r="D168" s="319"/>
      <c r="E168" s="263" t="s">
        <v>148</v>
      </c>
      <c r="F168" s="200"/>
      <c r="G168" s="273"/>
      <c r="H168" s="273"/>
      <c r="I168" s="273"/>
      <c r="J168" s="273"/>
      <c r="K168" s="273"/>
      <c r="L168" s="273"/>
      <c r="M168" s="148">
        <v>305</v>
      </c>
      <c r="N168" s="149">
        <v>71</v>
      </c>
      <c r="O168" s="149">
        <v>78</v>
      </c>
    </row>
    <row r="169" spans="4:16" s="318" customFormat="1" ht="19.5" x14ac:dyDescent="0.25">
      <c r="D169" s="319"/>
      <c r="E169" s="210"/>
      <c r="F169" s="278"/>
      <c r="G169" s="170" t="s">
        <v>132</v>
      </c>
      <c r="H169" s="170" t="s">
        <v>133</v>
      </c>
      <c r="I169" s="170" t="s">
        <v>134</v>
      </c>
      <c r="J169" s="170" t="s">
        <v>135</v>
      </c>
      <c r="K169" s="170" t="s">
        <v>145</v>
      </c>
      <c r="L169" s="170" t="s">
        <v>146</v>
      </c>
      <c r="M169" s="93" t="s">
        <v>137</v>
      </c>
      <c r="N169" s="210"/>
      <c r="O169" s="191"/>
    </row>
    <row r="170" spans="4:16" s="318" customFormat="1" ht="19.5" x14ac:dyDescent="0.25">
      <c r="D170" s="319"/>
      <c r="E170" s="210"/>
      <c r="F170" s="230" t="s">
        <v>147</v>
      </c>
      <c r="G170" s="230">
        <v>4</v>
      </c>
      <c r="H170" s="230">
        <v>27</v>
      </c>
      <c r="I170" s="230">
        <v>83</v>
      </c>
      <c r="J170" s="230">
        <v>112</v>
      </c>
      <c r="K170" s="230">
        <v>52</v>
      </c>
      <c r="L170" s="230">
        <v>27</v>
      </c>
      <c r="M170" s="248">
        <v>305</v>
      </c>
      <c r="N170" s="210"/>
      <c r="O170" s="191"/>
    </row>
    <row r="171" spans="4:16" ht="15.75" x14ac:dyDescent="0.25">
      <c r="D171" s="4"/>
      <c r="E171" s="319"/>
      <c r="F171" s="319"/>
      <c r="G171" s="319"/>
      <c r="H171" s="318"/>
      <c r="I171" s="318"/>
      <c r="J171" s="318"/>
      <c r="K171" s="318"/>
      <c r="L171" s="318"/>
      <c r="M171" s="318"/>
      <c r="N171" s="318"/>
      <c r="O171" s="318"/>
    </row>
    <row r="172" spans="4:16" ht="15.75" x14ac:dyDescent="0.25">
      <c r="D172" s="4" t="s">
        <v>63</v>
      </c>
      <c r="E172" s="319" t="s">
        <v>87</v>
      </c>
      <c r="F172" s="319"/>
      <c r="G172" s="319"/>
      <c r="H172" s="318"/>
      <c r="I172" s="318"/>
      <c r="J172" s="318"/>
      <c r="K172" s="129">
        <v>58</v>
      </c>
      <c r="L172" s="320" t="s">
        <v>143</v>
      </c>
      <c r="M172" s="129">
        <v>9</v>
      </c>
      <c r="N172" s="320" t="s">
        <v>144</v>
      </c>
      <c r="O172" s="129">
        <v>10</v>
      </c>
      <c r="P172" s="320" t="s">
        <v>144</v>
      </c>
    </row>
    <row r="173" spans="4:16" ht="15.75" x14ac:dyDescent="0.25">
      <c r="D173" s="4"/>
      <c r="E173" s="319" t="s">
        <v>90</v>
      </c>
      <c r="F173" s="319"/>
      <c r="G173" s="319"/>
      <c r="H173" s="318"/>
      <c r="I173" s="318"/>
      <c r="J173" s="318"/>
      <c r="K173" s="318"/>
      <c r="L173" s="318"/>
      <c r="M173" s="318"/>
      <c r="N173" s="318"/>
      <c r="O173" s="318"/>
    </row>
    <row r="174" spans="4:16" ht="15.75" x14ac:dyDescent="0.25">
      <c r="D174" s="4"/>
      <c r="E174" s="319" t="s">
        <v>114</v>
      </c>
      <c r="F174" s="319"/>
      <c r="G174" s="318"/>
      <c r="H174" s="318"/>
      <c r="I174" s="318"/>
      <c r="J174" s="318"/>
      <c r="K174" s="318"/>
      <c r="L174" s="318"/>
      <c r="M174" s="318"/>
      <c r="N174" s="318"/>
      <c r="O174" s="318"/>
    </row>
    <row r="175" spans="4:16" ht="15.75" x14ac:dyDescent="0.25">
      <c r="D175" s="4"/>
      <c r="E175" s="319" t="s">
        <v>60</v>
      </c>
      <c r="F175" s="321"/>
      <c r="G175" s="319"/>
      <c r="H175" s="318"/>
      <c r="I175" s="318"/>
      <c r="J175" s="318"/>
      <c r="K175" s="318"/>
      <c r="L175" s="318"/>
      <c r="M175" s="318"/>
      <c r="N175" s="318"/>
      <c r="O175" s="318"/>
    </row>
    <row r="176" spans="4:16" ht="16.5" thickBot="1" x14ac:dyDescent="0.3">
      <c r="D176" s="4"/>
      <c r="E176" s="319" t="s">
        <v>89</v>
      </c>
      <c r="F176" s="323"/>
      <c r="G176" s="319"/>
      <c r="H176" s="318"/>
      <c r="I176" s="318"/>
      <c r="J176" s="318"/>
      <c r="K176" s="318"/>
      <c r="L176" s="318"/>
      <c r="M176" s="318"/>
      <c r="N176" s="318"/>
      <c r="O176" s="318"/>
    </row>
    <row r="177" spans="4:16" s="318" customFormat="1" ht="19.5" x14ac:dyDescent="0.25">
      <c r="D177" s="319"/>
      <c r="E177" s="122" t="s">
        <v>129</v>
      </c>
      <c r="F177" s="175" t="s">
        <v>130</v>
      </c>
      <c r="G177" s="268" t="s">
        <v>131</v>
      </c>
      <c r="H177" s="167" t="s">
        <v>132</v>
      </c>
      <c r="I177" s="268" t="s">
        <v>133</v>
      </c>
      <c r="J177" s="167" t="s">
        <v>134</v>
      </c>
      <c r="K177" s="167" t="s">
        <v>135</v>
      </c>
      <c r="L177" s="167" t="s">
        <v>136</v>
      </c>
      <c r="M177" s="268" t="s">
        <v>137</v>
      </c>
      <c r="N177" s="268"/>
      <c r="O177" s="294"/>
    </row>
    <row r="178" spans="4:16" s="318" customFormat="1" ht="19.5" x14ac:dyDescent="0.25">
      <c r="D178" s="319"/>
      <c r="E178" s="250"/>
      <c r="F178" s="275"/>
      <c r="G178" s="247"/>
      <c r="H178" s="154"/>
      <c r="I178" s="247"/>
      <c r="J178" s="154"/>
      <c r="K178" s="154"/>
      <c r="L178" s="154"/>
      <c r="M178" s="203" t="s">
        <v>140</v>
      </c>
      <c r="N178" s="203" t="s">
        <v>138</v>
      </c>
      <c r="O178" s="283" t="s">
        <v>139</v>
      </c>
    </row>
    <row r="179" spans="4:16" s="318" customFormat="1" ht="19.5" hidden="1" x14ac:dyDescent="0.25">
      <c r="D179" s="319"/>
      <c r="E179" s="266"/>
      <c r="F179" s="203"/>
      <c r="G179" s="203">
        <v>0.2</v>
      </c>
      <c r="H179" s="203">
        <v>0.21</v>
      </c>
      <c r="I179" s="203">
        <v>0.22</v>
      </c>
      <c r="J179" s="203">
        <v>0.23</v>
      </c>
      <c r="K179" s="203">
        <v>0.24</v>
      </c>
      <c r="L179" s="203">
        <v>0.25</v>
      </c>
      <c r="M179" s="203"/>
      <c r="N179" s="203"/>
      <c r="O179" s="283"/>
    </row>
    <row r="180" spans="4:16" s="318" customFormat="1" ht="19.5" x14ac:dyDescent="0.25">
      <c r="D180" s="319"/>
      <c r="E180" s="266">
        <v>1</v>
      </c>
      <c r="F180" s="203" t="s">
        <v>147</v>
      </c>
      <c r="G180" s="203">
        <v>6</v>
      </c>
      <c r="H180" s="203">
        <v>7</v>
      </c>
      <c r="I180" s="203">
        <v>28</v>
      </c>
      <c r="J180" s="203">
        <v>11</v>
      </c>
      <c r="K180" s="203">
        <v>6</v>
      </c>
      <c r="L180" s="203"/>
      <c r="M180" s="203">
        <v>58</v>
      </c>
      <c r="N180" s="203">
        <v>9</v>
      </c>
      <c r="O180" s="283">
        <v>10</v>
      </c>
    </row>
    <row r="181" spans="4:16" s="318" customFormat="1" ht="20.25" thickBot="1" x14ac:dyDescent="0.3">
      <c r="D181" s="319"/>
      <c r="E181" s="127" t="s">
        <v>151</v>
      </c>
      <c r="F181" s="202"/>
      <c r="G181" s="299"/>
      <c r="H181" s="299"/>
      <c r="I181" s="299"/>
      <c r="J181" s="299"/>
      <c r="K181" s="299"/>
      <c r="L181" s="299"/>
      <c r="M181" s="299">
        <v>58</v>
      </c>
      <c r="N181" s="299">
        <v>9</v>
      </c>
      <c r="O181" s="299">
        <v>10</v>
      </c>
    </row>
    <row r="182" spans="4:16" s="318" customFormat="1" ht="19.5" x14ac:dyDescent="0.25">
      <c r="D182" s="319"/>
      <c r="E182" s="176"/>
      <c r="F182" s="142"/>
      <c r="G182" s="110" t="s">
        <v>131</v>
      </c>
      <c r="H182" s="110" t="s">
        <v>132</v>
      </c>
      <c r="I182" s="98" t="s">
        <v>133</v>
      </c>
      <c r="J182" s="110" t="s">
        <v>134</v>
      </c>
      <c r="K182" s="110" t="s">
        <v>135</v>
      </c>
      <c r="L182" s="110" t="s">
        <v>136</v>
      </c>
      <c r="M182" s="152" t="s">
        <v>137</v>
      </c>
      <c r="N182" s="176"/>
      <c r="O182" s="179"/>
    </row>
    <row r="183" spans="4:16" s="318" customFormat="1" ht="19.5" x14ac:dyDescent="0.25">
      <c r="D183" s="319"/>
      <c r="E183" s="176"/>
      <c r="F183" s="203" t="s">
        <v>147</v>
      </c>
      <c r="G183" s="96">
        <v>6</v>
      </c>
      <c r="H183" s="96">
        <v>7</v>
      </c>
      <c r="I183" s="96">
        <v>28</v>
      </c>
      <c r="J183" s="96">
        <v>11</v>
      </c>
      <c r="K183" s="96">
        <v>6</v>
      </c>
      <c r="L183" s="96">
        <v>0</v>
      </c>
      <c r="M183" s="95">
        <v>58</v>
      </c>
      <c r="N183" s="176"/>
      <c r="O183" s="179"/>
    </row>
    <row r="184" spans="4:16" ht="15.75" x14ac:dyDescent="0.25">
      <c r="D184" s="4"/>
      <c r="E184" s="319"/>
      <c r="F184" s="319"/>
      <c r="G184" s="319"/>
      <c r="H184" s="318"/>
      <c r="I184" s="318"/>
      <c r="J184" s="318"/>
      <c r="K184" s="318"/>
      <c r="L184" s="318"/>
      <c r="M184" s="318"/>
      <c r="N184" s="318"/>
      <c r="O184" s="318"/>
    </row>
    <row r="185" spans="4:16" ht="15.75" x14ac:dyDescent="0.25">
      <c r="D185" s="4" t="s">
        <v>64</v>
      </c>
      <c r="E185" s="319" t="s">
        <v>91</v>
      </c>
      <c r="F185" s="319"/>
      <c r="G185" s="319"/>
      <c r="H185" s="318"/>
      <c r="I185" s="318"/>
      <c r="J185" s="318"/>
      <c r="K185" s="129">
        <v>569</v>
      </c>
      <c r="L185" s="320" t="s">
        <v>143</v>
      </c>
      <c r="M185" s="129">
        <v>120.04</v>
      </c>
      <c r="N185" s="320" t="s">
        <v>144</v>
      </c>
      <c r="O185" s="129">
        <v>131.04</v>
      </c>
      <c r="P185" s="320" t="s">
        <v>144</v>
      </c>
    </row>
    <row r="186" spans="4:16" ht="15.75" x14ac:dyDescent="0.25">
      <c r="D186" s="4"/>
      <c r="E186" s="319" t="s">
        <v>92</v>
      </c>
      <c r="F186" s="319"/>
      <c r="G186" s="319"/>
      <c r="H186" s="318"/>
      <c r="I186" s="318"/>
      <c r="J186" s="318"/>
      <c r="K186" s="318"/>
      <c r="L186" s="318"/>
      <c r="M186" s="318"/>
      <c r="N186" s="318"/>
      <c r="O186" s="318"/>
    </row>
    <row r="187" spans="4:16" ht="15.75" x14ac:dyDescent="0.25">
      <c r="D187" s="4"/>
      <c r="E187" s="319" t="s">
        <v>123</v>
      </c>
      <c r="F187" s="321"/>
      <c r="G187" s="321"/>
      <c r="H187" s="318"/>
      <c r="I187" s="318"/>
      <c r="J187" s="318"/>
      <c r="K187" s="318"/>
      <c r="L187" s="318"/>
      <c r="M187" s="318"/>
      <c r="N187" s="318"/>
      <c r="O187" s="318"/>
    </row>
    <row r="188" spans="4:16" ht="15.75" x14ac:dyDescent="0.25">
      <c r="D188" s="4"/>
      <c r="E188" s="319" t="s">
        <v>60</v>
      </c>
      <c r="F188" s="321"/>
      <c r="G188" s="321"/>
      <c r="H188" s="318"/>
      <c r="I188" s="318"/>
      <c r="J188" s="318"/>
      <c r="K188" s="318"/>
      <c r="L188" s="318"/>
      <c r="M188" s="318"/>
      <c r="N188" s="318"/>
      <c r="O188" s="318"/>
    </row>
    <row r="189" spans="4:16" ht="16.5" thickBot="1" x14ac:dyDescent="0.3">
      <c r="D189" s="4"/>
      <c r="E189" s="319" t="s">
        <v>93</v>
      </c>
      <c r="F189" s="319"/>
      <c r="G189" s="319"/>
      <c r="H189" s="318"/>
      <c r="I189" s="318"/>
      <c r="J189" s="318"/>
      <c r="K189" s="318"/>
      <c r="L189" s="318"/>
      <c r="M189" s="318"/>
      <c r="N189" s="318"/>
      <c r="O189" s="318"/>
    </row>
    <row r="190" spans="4:16" s="318" customFormat="1" ht="16.5" x14ac:dyDescent="0.25">
      <c r="D190" s="319"/>
      <c r="E190" s="272" t="s">
        <v>129</v>
      </c>
      <c r="F190" s="215" t="s">
        <v>130</v>
      </c>
      <c r="G190" s="253" t="s">
        <v>131</v>
      </c>
      <c r="H190" s="253" t="s">
        <v>132</v>
      </c>
      <c r="I190" s="253" t="s">
        <v>133</v>
      </c>
      <c r="J190" s="253" t="s">
        <v>134</v>
      </c>
      <c r="K190" s="253" t="s">
        <v>135</v>
      </c>
      <c r="L190" s="253" t="s">
        <v>145</v>
      </c>
      <c r="M190" s="238" t="s">
        <v>137</v>
      </c>
      <c r="N190" s="231" t="s">
        <v>138</v>
      </c>
      <c r="O190" s="144" t="s">
        <v>139</v>
      </c>
    </row>
    <row r="191" spans="4:16" s="318" customFormat="1" ht="15.75" x14ac:dyDescent="0.25">
      <c r="D191" s="319"/>
      <c r="E191" s="211"/>
      <c r="F191" s="121"/>
      <c r="G191" s="182"/>
      <c r="H191" s="182"/>
      <c r="I191" s="182"/>
      <c r="J191" s="182"/>
      <c r="K191" s="182"/>
      <c r="L191" s="182"/>
      <c r="M191" s="90" t="s">
        <v>140</v>
      </c>
      <c r="N191" s="111" t="s">
        <v>26</v>
      </c>
      <c r="O191" s="118" t="s">
        <v>26</v>
      </c>
    </row>
    <row r="192" spans="4:16" s="318" customFormat="1" ht="19.5" hidden="1" x14ac:dyDescent="0.25">
      <c r="D192" s="319"/>
      <c r="E192" s="168"/>
      <c r="F192" s="198"/>
      <c r="G192" s="282">
        <v>0.19</v>
      </c>
      <c r="H192" s="282">
        <v>0.2</v>
      </c>
      <c r="I192" s="282">
        <v>0.21</v>
      </c>
      <c r="J192" s="282">
        <v>0.22</v>
      </c>
      <c r="K192" s="282">
        <v>0.23</v>
      </c>
      <c r="L192" s="282">
        <v>0.24</v>
      </c>
      <c r="M192" s="198"/>
      <c r="N192" s="188"/>
      <c r="O192" s="204"/>
    </row>
    <row r="193" spans="4:17" s="318" customFormat="1" ht="19.5" x14ac:dyDescent="0.25">
      <c r="D193" s="319"/>
      <c r="E193" s="257">
        <v>1</v>
      </c>
      <c r="F193" s="188" t="s">
        <v>149</v>
      </c>
      <c r="G193" s="282">
        <v>34</v>
      </c>
      <c r="H193" s="282">
        <v>20</v>
      </c>
      <c r="I193" s="282"/>
      <c r="J193" s="282"/>
      <c r="K193" s="282">
        <v>4</v>
      </c>
      <c r="L193" s="282"/>
      <c r="M193" s="188">
        <v>58</v>
      </c>
      <c r="N193" s="188">
        <v>11.38</v>
      </c>
      <c r="O193" s="204">
        <v>12.38</v>
      </c>
    </row>
    <row r="194" spans="4:17" s="318" customFormat="1" ht="19.5" x14ac:dyDescent="0.25">
      <c r="D194" s="319"/>
      <c r="E194" s="257">
        <v>2</v>
      </c>
      <c r="F194" s="188" t="s">
        <v>149</v>
      </c>
      <c r="G194" s="282"/>
      <c r="H194" s="282">
        <v>12</v>
      </c>
      <c r="I194" s="282">
        <v>38</v>
      </c>
      <c r="J194" s="282"/>
      <c r="K194" s="282"/>
      <c r="L194" s="282">
        <v>5</v>
      </c>
      <c r="M194" s="188">
        <v>55</v>
      </c>
      <c r="N194" s="188">
        <v>11.579999999999998</v>
      </c>
      <c r="O194" s="204">
        <v>12.579999999999998</v>
      </c>
    </row>
    <row r="195" spans="4:17" s="318" customFormat="1" ht="19.5" x14ac:dyDescent="0.25">
      <c r="D195" s="319"/>
      <c r="E195" s="257">
        <v>3</v>
      </c>
      <c r="F195" s="188" t="s">
        <v>149</v>
      </c>
      <c r="G195" s="282"/>
      <c r="H195" s="282">
        <v>12</v>
      </c>
      <c r="I195" s="282"/>
      <c r="J195" s="282">
        <v>44</v>
      </c>
      <c r="K195" s="282"/>
      <c r="L195" s="282"/>
      <c r="M195" s="188">
        <v>56</v>
      </c>
      <c r="N195" s="188">
        <v>12.08</v>
      </c>
      <c r="O195" s="204">
        <v>13.08</v>
      </c>
    </row>
    <row r="196" spans="4:17" s="318" customFormat="1" ht="19.5" x14ac:dyDescent="0.25">
      <c r="D196" s="319"/>
      <c r="E196" s="257">
        <v>4</v>
      </c>
      <c r="F196" s="188" t="s">
        <v>149</v>
      </c>
      <c r="G196" s="282"/>
      <c r="H196" s="282">
        <v>50</v>
      </c>
      <c r="I196" s="282"/>
      <c r="J196" s="282"/>
      <c r="K196" s="282"/>
      <c r="L196" s="282"/>
      <c r="M196" s="188">
        <v>50</v>
      </c>
      <c r="N196" s="188">
        <v>10</v>
      </c>
      <c r="O196" s="204">
        <v>11</v>
      </c>
    </row>
    <row r="197" spans="4:17" s="318" customFormat="1" ht="19.5" x14ac:dyDescent="0.25">
      <c r="D197" s="319"/>
      <c r="E197" s="257">
        <v>5</v>
      </c>
      <c r="F197" s="188" t="s">
        <v>149</v>
      </c>
      <c r="G197" s="282"/>
      <c r="H197" s="282">
        <v>50</v>
      </c>
      <c r="I197" s="282"/>
      <c r="J197" s="282"/>
      <c r="K197" s="282"/>
      <c r="L197" s="282"/>
      <c r="M197" s="188">
        <v>50</v>
      </c>
      <c r="N197" s="188">
        <v>10</v>
      </c>
      <c r="O197" s="204">
        <v>11</v>
      </c>
    </row>
    <row r="198" spans="4:17" s="318" customFormat="1" ht="19.5" x14ac:dyDescent="0.25">
      <c r="D198" s="319"/>
      <c r="E198" s="257">
        <v>6</v>
      </c>
      <c r="F198" s="188" t="s">
        <v>149</v>
      </c>
      <c r="G198" s="282"/>
      <c r="H198" s="282"/>
      <c r="I198" s="282">
        <v>50</v>
      </c>
      <c r="J198" s="282"/>
      <c r="K198" s="282"/>
      <c r="L198" s="282"/>
      <c r="M198" s="188">
        <v>50</v>
      </c>
      <c r="N198" s="188">
        <v>10.5</v>
      </c>
      <c r="O198" s="204">
        <v>11.5</v>
      </c>
    </row>
    <row r="199" spans="4:17" s="318" customFormat="1" ht="19.5" x14ac:dyDescent="0.25">
      <c r="D199" s="319"/>
      <c r="E199" s="257">
        <v>7</v>
      </c>
      <c r="F199" s="188" t="s">
        <v>149</v>
      </c>
      <c r="G199" s="282"/>
      <c r="H199" s="282"/>
      <c r="I199" s="282">
        <v>50</v>
      </c>
      <c r="J199" s="282"/>
      <c r="K199" s="282"/>
      <c r="L199" s="282"/>
      <c r="M199" s="188">
        <v>50</v>
      </c>
      <c r="N199" s="188">
        <v>10.5</v>
      </c>
      <c r="O199" s="204">
        <v>11.5</v>
      </c>
    </row>
    <row r="200" spans="4:17" s="318" customFormat="1" ht="19.5" x14ac:dyDescent="0.25">
      <c r="D200" s="319"/>
      <c r="E200" s="257">
        <v>8</v>
      </c>
      <c r="F200" s="188" t="s">
        <v>149</v>
      </c>
      <c r="G200" s="282"/>
      <c r="H200" s="282"/>
      <c r="I200" s="282">
        <v>50</v>
      </c>
      <c r="J200" s="282"/>
      <c r="K200" s="282"/>
      <c r="L200" s="282"/>
      <c r="M200" s="188">
        <v>50</v>
      </c>
      <c r="N200" s="188">
        <v>10.5</v>
      </c>
      <c r="O200" s="204">
        <v>11.5</v>
      </c>
    </row>
    <row r="201" spans="4:17" s="318" customFormat="1" ht="19.5" x14ac:dyDescent="0.25">
      <c r="D201" s="319"/>
      <c r="E201" s="257">
        <v>9</v>
      </c>
      <c r="F201" s="188" t="s">
        <v>149</v>
      </c>
      <c r="G201" s="282"/>
      <c r="H201" s="282"/>
      <c r="I201" s="282"/>
      <c r="J201" s="282">
        <v>50</v>
      </c>
      <c r="K201" s="282"/>
      <c r="L201" s="282"/>
      <c r="M201" s="188">
        <v>50</v>
      </c>
      <c r="N201" s="188">
        <v>11</v>
      </c>
      <c r="O201" s="204">
        <v>12</v>
      </c>
    </row>
    <row r="202" spans="4:17" s="318" customFormat="1" ht="19.5" x14ac:dyDescent="0.25">
      <c r="D202" s="319"/>
      <c r="E202" s="257">
        <v>10</v>
      </c>
      <c r="F202" s="188" t="s">
        <v>149</v>
      </c>
      <c r="G202" s="282"/>
      <c r="H202" s="282"/>
      <c r="I202" s="282"/>
      <c r="J202" s="282">
        <v>50</v>
      </c>
      <c r="K202" s="282"/>
      <c r="L202" s="282"/>
      <c r="M202" s="188">
        <v>50</v>
      </c>
      <c r="N202" s="188">
        <v>11</v>
      </c>
      <c r="O202" s="204">
        <v>12</v>
      </c>
    </row>
    <row r="203" spans="4:17" s="318" customFormat="1" ht="19.5" x14ac:dyDescent="0.25">
      <c r="D203" s="319"/>
      <c r="E203" s="257">
        <v>11</v>
      </c>
      <c r="F203" s="188" t="s">
        <v>149</v>
      </c>
      <c r="G203" s="282"/>
      <c r="H203" s="282"/>
      <c r="I203" s="282"/>
      <c r="J203" s="282"/>
      <c r="K203" s="282">
        <v>50</v>
      </c>
      <c r="L203" s="282"/>
      <c r="M203" s="188">
        <v>50</v>
      </c>
      <c r="N203" s="188">
        <v>11.5</v>
      </c>
      <c r="O203" s="204">
        <v>12.5</v>
      </c>
    </row>
    <row r="204" spans="4:17" s="318" customFormat="1" ht="20.25" thickBot="1" x14ac:dyDescent="0.3">
      <c r="D204" s="319"/>
      <c r="E204" s="263" t="s">
        <v>151</v>
      </c>
      <c r="F204" s="103"/>
      <c r="G204" s="309"/>
      <c r="H204" s="309"/>
      <c r="I204" s="309"/>
      <c r="J204" s="309"/>
      <c r="K204" s="309"/>
      <c r="L204" s="309"/>
      <c r="M204" s="309">
        <v>569</v>
      </c>
      <c r="N204" s="234">
        <v>120.03999999999999</v>
      </c>
      <c r="O204" s="234">
        <v>131.04</v>
      </c>
    </row>
    <row r="205" spans="4:17" s="318" customFormat="1" ht="19.5" x14ac:dyDescent="0.25">
      <c r="D205" s="319"/>
      <c r="E205" s="226"/>
      <c r="F205" s="207"/>
      <c r="G205" s="295" t="s">
        <v>131</v>
      </c>
      <c r="H205" s="295" t="s">
        <v>132</v>
      </c>
      <c r="I205" s="295" t="s">
        <v>133</v>
      </c>
      <c r="J205" s="295" t="s">
        <v>134</v>
      </c>
      <c r="K205" s="295" t="s">
        <v>135</v>
      </c>
      <c r="L205" s="295" t="s">
        <v>145</v>
      </c>
      <c r="M205" s="132" t="s">
        <v>137</v>
      </c>
      <c r="N205" s="226"/>
      <c r="O205" s="306"/>
    </row>
    <row r="206" spans="4:17" s="318" customFormat="1" ht="20.25" thickBot="1" x14ac:dyDescent="0.3">
      <c r="D206" s="319"/>
      <c r="E206" s="226"/>
      <c r="F206" s="316" t="s">
        <v>149</v>
      </c>
      <c r="G206" s="279">
        <v>34</v>
      </c>
      <c r="H206" s="279">
        <v>144</v>
      </c>
      <c r="I206" s="279">
        <v>188</v>
      </c>
      <c r="J206" s="279">
        <v>144</v>
      </c>
      <c r="K206" s="279">
        <v>54</v>
      </c>
      <c r="L206" s="279">
        <v>5</v>
      </c>
      <c r="M206" s="161">
        <v>569</v>
      </c>
      <c r="N206" s="226"/>
      <c r="O206" s="306"/>
    </row>
    <row r="207" spans="4:17" ht="15.75" x14ac:dyDescent="0.25">
      <c r="D207" s="4"/>
      <c r="E207" s="319"/>
      <c r="F207" s="319"/>
      <c r="G207" s="319"/>
      <c r="H207" s="318"/>
      <c r="I207" s="318"/>
      <c r="J207" s="318"/>
      <c r="K207" s="318"/>
      <c r="L207" s="318"/>
      <c r="M207" s="318"/>
      <c r="N207" s="318"/>
      <c r="O207" s="318"/>
    </row>
    <row r="208" spans="4:17" ht="15.75" x14ac:dyDescent="0.25">
      <c r="D208" s="4" t="s">
        <v>65</v>
      </c>
      <c r="E208" s="319" t="s">
        <v>91</v>
      </c>
      <c r="F208" s="319"/>
      <c r="G208" s="319"/>
      <c r="H208" s="318"/>
      <c r="I208" s="318"/>
      <c r="J208" s="318"/>
      <c r="K208" s="129">
        <v>1063</v>
      </c>
      <c r="L208" s="320" t="s">
        <v>143</v>
      </c>
      <c r="M208" s="320">
        <v>223.59</v>
      </c>
      <c r="N208" s="320" t="s">
        <v>144</v>
      </c>
      <c r="O208" s="320">
        <v>244.59</v>
      </c>
      <c r="P208" s="320" t="s">
        <v>144</v>
      </c>
      <c r="Q208" s="320"/>
    </row>
    <row r="209" spans="4:15" ht="15.75" x14ac:dyDescent="0.25">
      <c r="D209" s="4"/>
      <c r="E209" s="319" t="s">
        <v>94</v>
      </c>
      <c r="F209" s="319"/>
      <c r="G209" s="319"/>
      <c r="H209" s="318"/>
      <c r="I209" s="318"/>
      <c r="J209" s="318"/>
      <c r="K209" s="318"/>
      <c r="L209" s="318"/>
      <c r="M209" s="318"/>
      <c r="N209" s="318"/>
      <c r="O209" s="318"/>
    </row>
    <row r="210" spans="4:15" ht="15.75" x14ac:dyDescent="0.25">
      <c r="D210" s="4"/>
      <c r="E210" s="319" t="s">
        <v>124</v>
      </c>
      <c r="F210" s="321"/>
      <c r="G210" s="319"/>
      <c r="H210" s="318"/>
      <c r="I210" s="318"/>
      <c r="J210" s="318"/>
      <c r="K210" s="318"/>
      <c r="L210" s="318"/>
      <c r="M210" s="318"/>
      <c r="N210" s="318"/>
      <c r="O210" s="318"/>
    </row>
    <row r="211" spans="4:15" ht="15.75" x14ac:dyDescent="0.25">
      <c r="D211" s="4"/>
      <c r="E211" s="319" t="s">
        <v>60</v>
      </c>
      <c r="F211" s="321"/>
      <c r="G211" s="319"/>
      <c r="H211" s="318"/>
      <c r="I211" s="318"/>
      <c r="J211" s="318"/>
      <c r="K211" s="318"/>
      <c r="L211" s="318"/>
      <c r="M211" s="318"/>
      <c r="N211" s="318"/>
      <c r="O211" s="318"/>
    </row>
    <row r="212" spans="4:15" ht="16.5" thickBot="1" x14ac:dyDescent="0.3">
      <c r="D212" s="4"/>
      <c r="E212" s="319" t="s">
        <v>67</v>
      </c>
      <c r="F212" s="319"/>
      <c r="G212" s="319"/>
      <c r="H212" s="318"/>
      <c r="I212" s="318"/>
      <c r="J212" s="318"/>
      <c r="K212" s="318"/>
      <c r="L212" s="318"/>
      <c r="M212" s="318"/>
      <c r="N212" s="318"/>
      <c r="O212" s="318"/>
    </row>
    <row r="213" spans="4:15" s="318" customFormat="1" ht="16.5" x14ac:dyDescent="0.25">
      <c r="D213" s="319"/>
      <c r="E213" s="272" t="s">
        <v>129</v>
      </c>
      <c r="F213" s="215" t="s">
        <v>130</v>
      </c>
      <c r="G213" s="253" t="s">
        <v>131</v>
      </c>
      <c r="H213" s="253" t="s">
        <v>132</v>
      </c>
      <c r="I213" s="253" t="s">
        <v>133</v>
      </c>
      <c r="J213" s="253" t="s">
        <v>134</v>
      </c>
      <c r="K213" s="253" t="s">
        <v>135</v>
      </c>
      <c r="L213" s="253" t="s">
        <v>145</v>
      </c>
      <c r="M213" s="113" t="s">
        <v>137</v>
      </c>
      <c r="N213" s="106" t="s">
        <v>138</v>
      </c>
      <c r="O213" s="91" t="s">
        <v>139</v>
      </c>
    </row>
    <row r="214" spans="4:15" s="318" customFormat="1" ht="15.75" x14ac:dyDescent="0.25">
      <c r="D214" s="319"/>
      <c r="E214" s="211"/>
      <c r="F214" s="121"/>
      <c r="G214" s="182"/>
      <c r="H214" s="182"/>
      <c r="I214" s="182"/>
      <c r="J214" s="182"/>
      <c r="K214" s="182"/>
      <c r="L214" s="182"/>
      <c r="M214" s="244" t="s">
        <v>140</v>
      </c>
      <c r="N214" s="92" t="s">
        <v>26</v>
      </c>
      <c r="O214" s="123" t="s">
        <v>26</v>
      </c>
    </row>
    <row r="215" spans="4:15" s="318" customFormat="1" ht="19.5" x14ac:dyDescent="0.25">
      <c r="D215" s="319"/>
      <c r="E215" s="251"/>
      <c r="F215" s="178"/>
      <c r="G215" s="201">
        <v>0.19</v>
      </c>
      <c r="H215" s="201">
        <v>0.2</v>
      </c>
      <c r="I215" s="201">
        <v>0.21</v>
      </c>
      <c r="J215" s="201">
        <v>0.22</v>
      </c>
      <c r="K215" s="201">
        <v>0.23</v>
      </c>
      <c r="L215" s="201">
        <v>0.24</v>
      </c>
      <c r="M215" s="178"/>
      <c r="N215" s="212"/>
      <c r="O215" s="173"/>
    </row>
    <row r="216" spans="4:15" s="318" customFormat="1" ht="19.5" x14ac:dyDescent="0.25">
      <c r="D216" s="319"/>
      <c r="E216" s="186">
        <v>1</v>
      </c>
      <c r="F216" s="212" t="s">
        <v>150</v>
      </c>
      <c r="G216" s="201">
        <v>32</v>
      </c>
      <c r="H216" s="201">
        <v>24</v>
      </c>
      <c r="I216" s="201"/>
      <c r="J216" s="201"/>
      <c r="K216" s="201"/>
      <c r="L216" s="201"/>
      <c r="M216" s="212">
        <v>56</v>
      </c>
      <c r="N216" s="212">
        <v>10.88</v>
      </c>
      <c r="O216" s="173">
        <v>11.88</v>
      </c>
    </row>
    <row r="217" spans="4:15" s="318" customFormat="1" ht="19.5" x14ac:dyDescent="0.25">
      <c r="D217" s="319"/>
      <c r="E217" s="186">
        <v>2</v>
      </c>
      <c r="F217" s="212" t="s">
        <v>150</v>
      </c>
      <c r="G217" s="201"/>
      <c r="H217" s="201"/>
      <c r="I217" s="201">
        <v>40</v>
      </c>
      <c r="J217" s="201"/>
      <c r="K217" s="201"/>
      <c r="L217" s="201">
        <v>11</v>
      </c>
      <c r="M217" s="212">
        <v>51</v>
      </c>
      <c r="N217" s="212">
        <v>11.04</v>
      </c>
      <c r="O217" s="173">
        <v>12.04</v>
      </c>
    </row>
    <row r="218" spans="4:15" s="318" customFormat="1" ht="19.5" x14ac:dyDescent="0.25">
      <c r="D218" s="319"/>
      <c r="E218" s="186">
        <v>3</v>
      </c>
      <c r="F218" s="212" t="s">
        <v>150</v>
      </c>
      <c r="G218" s="201"/>
      <c r="H218" s="201"/>
      <c r="I218" s="201">
        <v>2</v>
      </c>
      <c r="J218" s="201">
        <v>17</v>
      </c>
      <c r="K218" s="201">
        <v>37</v>
      </c>
      <c r="L218" s="201"/>
      <c r="M218" s="212">
        <v>56</v>
      </c>
      <c r="N218" s="212">
        <v>12.67</v>
      </c>
      <c r="O218" s="173">
        <v>13.67</v>
      </c>
    </row>
    <row r="219" spans="4:15" s="318" customFormat="1" ht="19.5" x14ac:dyDescent="0.25">
      <c r="D219" s="319"/>
      <c r="E219" s="186">
        <v>4</v>
      </c>
      <c r="F219" s="212" t="s">
        <v>150</v>
      </c>
      <c r="G219" s="201">
        <v>50</v>
      </c>
      <c r="H219" s="201"/>
      <c r="I219" s="201"/>
      <c r="J219" s="201"/>
      <c r="K219" s="201"/>
      <c r="L219" s="201"/>
      <c r="M219" s="212">
        <v>50</v>
      </c>
      <c r="N219" s="212">
        <v>9.5</v>
      </c>
      <c r="O219" s="173">
        <v>10.5</v>
      </c>
    </row>
    <row r="220" spans="4:15" s="318" customFormat="1" ht="19.5" x14ac:dyDescent="0.25">
      <c r="D220" s="319"/>
      <c r="E220" s="186">
        <v>5</v>
      </c>
      <c r="F220" s="212" t="s">
        <v>150</v>
      </c>
      <c r="G220" s="201"/>
      <c r="H220" s="201">
        <v>50</v>
      </c>
      <c r="I220" s="201"/>
      <c r="J220" s="201"/>
      <c r="K220" s="201"/>
      <c r="L220" s="201"/>
      <c r="M220" s="212">
        <v>50</v>
      </c>
      <c r="N220" s="212">
        <v>10</v>
      </c>
      <c r="O220" s="173">
        <v>11</v>
      </c>
    </row>
    <row r="221" spans="4:15" s="318" customFormat="1" ht="19.5" x14ac:dyDescent="0.25">
      <c r="D221" s="319"/>
      <c r="E221" s="186">
        <v>6</v>
      </c>
      <c r="F221" s="212" t="s">
        <v>150</v>
      </c>
      <c r="G221" s="201"/>
      <c r="H221" s="201">
        <v>50</v>
      </c>
      <c r="I221" s="201"/>
      <c r="J221" s="201"/>
      <c r="K221" s="201"/>
      <c r="L221" s="201"/>
      <c r="M221" s="212">
        <v>50</v>
      </c>
      <c r="N221" s="212">
        <v>10</v>
      </c>
      <c r="O221" s="173">
        <v>11</v>
      </c>
    </row>
    <row r="222" spans="4:15" s="318" customFormat="1" ht="19.5" x14ac:dyDescent="0.25">
      <c r="D222" s="319"/>
      <c r="E222" s="186">
        <v>7</v>
      </c>
      <c r="F222" s="212" t="s">
        <v>150</v>
      </c>
      <c r="G222" s="201"/>
      <c r="H222" s="201">
        <v>50</v>
      </c>
      <c r="I222" s="201"/>
      <c r="J222" s="201"/>
      <c r="K222" s="201"/>
      <c r="L222" s="201"/>
      <c r="M222" s="212">
        <v>50</v>
      </c>
      <c r="N222" s="212">
        <v>10</v>
      </c>
      <c r="O222" s="173">
        <v>11</v>
      </c>
    </row>
    <row r="223" spans="4:15" s="318" customFormat="1" ht="19.5" x14ac:dyDescent="0.25">
      <c r="D223" s="319"/>
      <c r="E223" s="186">
        <v>8</v>
      </c>
      <c r="F223" s="212" t="s">
        <v>150</v>
      </c>
      <c r="G223" s="201"/>
      <c r="H223" s="201">
        <v>50</v>
      </c>
      <c r="I223" s="201"/>
      <c r="J223" s="201"/>
      <c r="K223" s="201"/>
      <c r="L223" s="201"/>
      <c r="M223" s="212">
        <v>50</v>
      </c>
      <c r="N223" s="212">
        <v>10</v>
      </c>
      <c r="O223" s="173">
        <v>11</v>
      </c>
    </row>
    <row r="224" spans="4:15" s="318" customFormat="1" ht="19.5" x14ac:dyDescent="0.25">
      <c r="D224" s="319"/>
      <c r="E224" s="186">
        <v>9</v>
      </c>
      <c r="F224" s="212" t="s">
        <v>150</v>
      </c>
      <c r="G224" s="201"/>
      <c r="H224" s="201">
        <v>50</v>
      </c>
      <c r="I224" s="201"/>
      <c r="J224" s="201"/>
      <c r="K224" s="201"/>
      <c r="L224" s="201"/>
      <c r="M224" s="212">
        <v>50</v>
      </c>
      <c r="N224" s="212">
        <v>10</v>
      </c>
      <c r="O224" s="173">
        <v>11</v>
      </c>
    </row>
    <row r="225" spans="4:15" s="318" customFormat="1" ht="19.5" x14ac:dyDescent="0.25">
      <c r="D225" s="319"/>
      <c r="E225" s="186">
        <v>10</v>
      </c>
      <c r="F225" s="212" t="s">
        <v>150</v>
      </c>
      <c r="G225" s="201"/>
      <c r="H225" s="201"/>
      <c r="I225" s="201">
        <v>50</v>
      </c>
      <c r="J225" s="201"/>
      <c r="K225" s="201"/>
      <c r="L225" s="201"/>
      <c r="M225" s="212">
        <v>50</v>
      </c>
      <c r="N225" s="212">
        <v>10.5</v>
      </c>
      <c r="O225" s="173">
        <v>11.5</v>
      </c>
    </row>
    <row r="226" spans="4:15" s="318" customFormat="1" ht="19.5" x14ac:dyDescent="0.25">
      <c r="D226" s="319"/>
      <c r="E226" s="186">
        <v>11</v>
      </c>
      <c r="F226" s="212" t="s">
        <v>150</v>
      </c>
      <c r="G226" s="201"/>
      <c r="H226" s="201"/>
      <c r="I226" s="201">
        <v>50</v>
      </c>
      <c r="J226" s="201"/>
      <c r="K226" s="201"/>
      <c r="L226" s="201"/>
      <c r="M226" s="212">
        <v>50</v>
      </c>
      <c r="N226" s="212">
        <v>10.5</v>
      </c>
      <c r="O226" s="173">
        <v>11.5</v>
      </c>
    </row>
    <row r="227" spans="4:15" s="318" customFormat="1" ht="19.5" x14ac:dyDescent="0.25">
      <c r="D227" s="319"/>
      <c r="E227" s="186">
        <v>12</v>
      </c>
      <c r="F227" s="212" t="s">
        <v>150</v>
      </c>
      <c r="G227" s="201"/>
      <c r="H227" s="201"/>
      <c r="I227" s="201">
        <v>50</v>
      </c>
      <c r="J227" s="201"/>
      <c r="K227" s="201"/>
      <c r="L227" s="201"/>
      <c r="M227" s="212">
        <v>50</v>
      </c>
      <c r="N227" s="212">
        <v>10.5</v>
      </c>
      <c r="O227" s="173">
        <v>11.5</v>
      </c>
    </row>
    <row r="228" spans="4:15" s="318" customFormat="1" ht="19.5" x14ac:dyDescent="0.25">
      <c r="D228" s="319"/>
      <c r="E228" s="186">
        <v>13</v>
      </c>
      <c r="F228" s="212" t="s">
        <v>150</v>
      </c>
      <c r="G228" s="201"/>
      <c r="H228" s="201"/>
      <c r="I228" s="201">
        <v>50</v>
      </c>
      <c r="J228" s="201"/>
      <c r="K228" s="201"/>
      <c r="L228" s="201"/>
      <c r="M228" s="212">
        <v>50</v>
      </c>
      <c r="N228" s="212">
        <v>10.5</v>
      </c>
      <c r="O228" s="173">
        <v>11.5</v>
      </c>
    </row>
    <row r="229" spans="4:15" s="318" customFormat="1" ht="19.5" x14ac:dyDescent="0.25">
      <c r="D229" s="319"/>
      <c r="E229" s="186">
        <v>14</v>
      </c>
      <c r="F229" s="212" t="s">
        <v>150</v>
      </c>
      <c r="G229" s="201"/>
      <c r="H229" s="201"/>
      <c r="I229" s="201">
        <v>50</v>
      </c>
      <c r="J229" s="201"/>
      <c r="K229" s="201"/>
      <c r="L229" s="201"/>
      <c r="M229" s="212">
        <v>50</v>
      </c>
      <c r="N229" s="212">
        <v>10.5</v>
      </c>
      <c r="O229" s="173">
        <v>11.5</v>
      </c>
    </row>
    <row r="230" spans="4:15" s="318" customFormat="1" ht="19.5" x14ac:dyDescent="0.25">
      <c r="D230" s="319"/>
      <c r="E230" s="186">
        <v>15</v>
      </c>
      <c r="F230" s="212" t="s">
        <v>150</v>
      </c>
      <c r="G230" s="201"/>
      <c r="H230" s="201"/>
      <c r="I230" s="201">
        <v>50</v>
      </c>
      <c r="J230" s="201"/>
      <c r="K230" s="201"/>
      <c r="L230" s="201"/>
      <c r="M230" s="212">
        <v>50</v>
      </c>
      <c r="N230" s="212">
        <v>10.5</v>
      </c>
      <c r="O230" s="173">
        <v>11.5</v>
      </c>
    </row>
    <row r="231" spans="4:15" s="318" customFormat="1" ht="19.5" x14ac:dyDescent="0.25">
      <c r="D231" s="319"/>
      <c r="E231" s="186">
        <v>16</v>
      </c>
      <c r="F231" s="212" t="s">
        <v>150</v>
      </c>
      <c r="G231" s="201"/>
      <c r="H231" s="201"/>
      <c r="I231" s="201"/>
      <c r="J231" s="201">
        <v>50</v>
      </c>
      <c r="K231" s="201"/>
      <c r="L231" s="201"/>
      <c r="M231" s="212">
        <v>50</v>
      </c>
      <c r="N231" s="212">
        <v>11</v>
      </c>
      <c r="O231" s="173">
        <v>12</v>
      </c>
    </row>
    <row r="232" spans="4:15" s="318" customFormat="1" ht="19.5" x14ac:dyDescent="0.25">
      <c r="D232" s="319"/>
      <c r="E232" s="186">
        <v>17</v>
      </c>
      <c r="F232" s="212" t="s">
        <v>150</v>
      </c>
      <c r="G232" s="201"/>
      <c r="H232" s="201"/>
      <c r="I232" s="201"/>
      <c r="J232" s="201">
        <v>50</v>
      </c>
      <c r="K232" s="201"/>
      <c r="L232" s="201"/>
      <c r="M232" s="212">
        <v>50</v>
      </c>
      <c r="N232" s="212">
        <v>11</v>
      </c>
      <c r="O232" s="173">
        <v>12</v>
      </c>
    </row>
    <row r="233" spans="4:15" s="318" customFormat="1" ht="19.5" x14ac:dyDescent="0.25">
      <c r="D233" s="319"/>
      <c r="E233" s="186">
        <v>18</v>
      </c>
      <c r="F233" s="212" t="s">
        <v>150</v>
      </c>
      <c r="G233" s="201"/>
      <c r="H233" s="201"/>
      <c r="I233" s="201"/>
      <c r="J233" s="201">
        <v>50</v>
      </c>
      <c r="K233" s="201"/>
      <c r="L233" s="201"/>
      <c r="M233" s="212">
        <v>50</v>
      </c>
      <c r="N233" s="212">
        <v>11</v>
      </c>
      <c r="O233" s="173">
        <v>12</v>
      </c>
    </row>
    <row r="234" spans="4:15" s="318" customFormat="1" ht="19.5" x14ac:dyDescent="0.25">
      <c r="D234" s="319"/>
      <c r="E234" s="186">
        <v>19</v>
      </c>
      <c r="F234" s="212" t="s">
        <v>150</v>
      </c>
      <c r="G234" s="201"/>
      <c r="H234" s="201"/>
      <c r="I234" s="201"/>
      <c r="J234" s="201">
        <v>50</v>
      </c>
      <c r="K234" s="201"/>
      <c r="L234" s="201"/>
      <c r="M234" s="212">
        <v>50</v>
      </c>
      <c r="N234" s="212">
        <v>11</v>
      </c>
      <c r="O234" s="173">
        <v>12</v>
      </c>
    </row>
    <row r="235" spans="4:15" s="318" customFormat="1" ht="19.5" x14ac:dyDescent="0.25">
      <c r="D235" s="319"/>
      <c r="E235" s="186">
        <v>20</v>
      </c>
      <c r="F235" s="212" t="s">
        <v>150</v>
      </c>
      <c r="G235" s="201"/>
      <c r="H235" s="201"/>
      <c r="I235" s="201"/>
      <c r="J235" s="201">
        <v>50</v>
      </c>
      <c r="K235" s="201"/>
      <c r="L235" s="201"/>
      <c r="M235" s="212">
        <v>50</v>
      </c>
      <c r="N235" s="212">
        <v>11</v>
      </c>
      <c r="O235" s="173">
        <v>12</v>
      </c>
    </row>
    <row r="236" spans="4:15" s="318" customFormat="1" ht="19.5" x14ac:dyDescent="0.25">
      <c r="D236" s="319"/>
      <c r="E236" s="186">
        <v>21</v>
      </c>
      <c r="F236" s="212" t="s">
        <v>150</v>
      </c>
      <c r="G236" s="201"/>
      <c r="H236" s="201"/>
      <c r="I236" s="201"/>
      <c r="J236" s="201"/>
      <c r="K236" s="201">
        <v>50</v>
      </c>
      <c r="L236" s="201"/>
      <c r="M236" s="212">
        <v>50</v>
      </c>
      <c r="N236" s="212">
        <v>11.5</v>
      </c>
      <c r="O236" s="173">
        <v>12.5</v>
      </c>
    </row>
    <row r="237" spans="4:15" s="318" customFormat="1" ht="20.25" thickBot="1" x14ac:dyDescent="0.3">
      <c r="D237" s="319"/>
      <c r="E237" s="263" t="s">
        <v>151</v>
      </c>
      <c r="F237" s="103"/>
      <c r="G237" s="304"/>
      <c r="H237" s="304"/>
      <c r="I237" s="304"/>
      <c r="J237" s="304"/>
      <c r="K237" s="304"/>
      <c r="L237" s="304"/>
      <c r="M237" s="304">
        <v>1063</v>
      </c>
      <c r="N237" s="313">
        <v>223.59</v>
      </c>
      <c r="O237" s="313">
        <v>244.59</v>
      </c>
    </row>
    <row r="238" spans="4:15" s="318" customFormat="1" ht="19.5" x14ac:dyDescent="0.25">
      <c r="D238" s="319"/>
      <c r="E238" s="312"/>
      <c r="F238" s="232"/>
      <c r="G238" s="296" t="s">
        <v>131</v>
      </c>
      <c r="H238" s="296" t="s">
        <v>132</v>
      </c>
      <c r="I238" s="296" t="s">
        <v>133</v>
      </c>
      <c r="J238" s="296" t="s">
        <v>134</v>
      </c>
      <c r="K238" s="296" t="s">
        <v>135</v>
      </c>
      <c r="L238" s="296" t="s">
        <v>145</v>
      </c>
      <c r="M238" s="157" t="s">
        <v>137</v>
      </c>
      <c r="N238" s="312"/>
      <c r="O238" s="291"/>
    </row>
    <row r="239" spans="4:15" s="318" customFormat="1" ht="20.25" thickBot="1" x14ac:dyDescent="0.3">
      <c r="D239" s="319"/>
      <c r="E239" s="312"/>
      <c r="F239" s="131" t="s">
        <v>150</v>
      </c>
      <c r="G239" s="109">
        <v>82</v>
      </c>
      <c r="H239" s="109">
        <v>274</v>
      </c>
      <c r="I239" s="109">
        <v>342</v>
      </c>
      <c r="J239" s="109">
        <v>267</v>
      </c>
      <c r="K239" s="109">
        <v>87</v>
      </c>
      <c r="L239" s="109">
        <v>11</v>
      </c>
      <c r="M239" s="260">
        <v>1063</v>
      </c>
      <c r="N239" s="312"/>
      <c r="O239" s="291"/>
    </row>
    <row r="240" spans="4:15" ht="15.75" x14ac:dyDescent="0.25">
      <c r="D240" s="4"/>
      <c r="E240" s="319"/>
      <c r="F240" s="319"/>
      <c r="G240" s="319"/>
      <c r="H240" s="318"/>
      <c r="I240" s="318"/>
      <c r="J240" s="318"/>
      <c r="K240" s="318"/>
      <c r="L240" s="318"/>
      <c r="M240" s="318"/>
      <c r="N240" s="318"/>
      <c r="O240" s="318"/>
    </row>
    <row r="241" spans="4:16" ht="15.75" x14ac:dyDescent="0.25">
      <c r="D241" s="4" t="s">
        <v>95</v>
      </c>
      <c r="E241" s="319" t="s">
        <v>79</v>
      </c>
      <c r="F241" s="319"/>
      <c r="G241" s="319"/>
      <c r="H241" s="318"/>
      <c r="I241" s="318"/>
      <c r="J241" s="318"/>
      <c r="K241" s="129">
        <v>411</v>
      </c>
      <c r="L241" s="320" t="s">
        <v>143</v>
      </c>
      <c r="M241" s="129">
        <v>102</v>
      </c>
      <c r="N241" s="320" t="s">
        <v>144</v>
      </c>
      <c r="O241" s="129">
        <v>111</v>
      </c>
      <c r="P241" s="320" t="s">
        <v>144</v>
      </c>
    </row>
    <row r="242" spans="4:16" ht="15.75" x14ac:dyDescent="0.25">
      <c r="D242" s="4"/>
      <c r="E242" s="319" t="s">
        <v>105</v>
      </c>
      <c r="F242" s="319"/>
      <c r="G242" s="319"/>
      <c r="H242" s="318"/>
      <c r="I242" s="318"/>
      <c r="J242" s="318"/>
      <c r="K242" s="318"/>
      <c r="L242" s="318"/>
      <c r="M242" s="318"/>
      <c r="N242" s="318"/>
      <c r="O242" s="318"/>
    </row>
    <row r="243" spans="4:16" ht="15.75" x14ac:dyDescent="0.25">
      <c r="D243" s="4"/>
      <c r="E243" s="319" t="s">
        <v>115</v>
      </c>
      <c r="F243" s="319"/>
      <c r="G243" s="319"/>
      <c r="H243" s="318"/>
      <c r="I243" s="318"/>
      <c r="J243" s="318"/>
      <c r="K243" s="318"/>
      <c r="L243" s="318"/>
      <c r="M243" s="318"/>
      <c r="N243" s="318"/>
      <c r="O243" s="318"/>
    </row>
    <row r="244" spans="4:16" ht="15.75" x14ac:dyDescent="0.25">
      <c r="D244" s="4"/>
      <c r="E244" s="319" t="s">
        <v>116</v>
      </c>
      <c r="F244" s="319"/>
      <c r="G244" s="319"/>
      <c r="H244" s="318"/>
      <c r="I244" s="318"/>
      <c r="J244" s="318"/>
      <c r="K244" s="318"/>
      <c r="L244" s="318"/>
      <c r="M244" s="318"/>
      <c r="N244" s="318"/>
      <c r="O244" s="318"/>
    </row>
    <row r="245" spans="4:16" ht="16.5" thickBot="1" x14ac:dyDescent="0.3">
      <c r="D245" s="4"/>
      <c r="E245" s="319" t="s">
        <v>106</v>
      </c>
      <c r="F245" s="319"/>
      <c r="G245" s="319"/>
      <c r="H245" s="318"/>
      <c r="I245" s="318"/>
      <c r="J245" s="318"/>
      <c r="K245" s="318"/>
      <c r="L245" s="318"/>
      <c r="M245" s="318"/>
      <c r="N245" s="318"/>
      <c r="O245" s="318"/>
    </row>
    <row r="246" spans="4:16" s="318" customFormat="1" ht="16.5" x14ac:dyDescent="0.25">
      <c r="D246" s="319"/>
      <c r="E246" s="272" t="s">
        <v>129</v>
      </c>
      <c r="F246" s="215" t="s">
        <v>130</v>
      </c>
      <c r="G246" s="253" t="s">
        <v>132</v>
      </c>
      <c r="H246" s="253" t="s">
        <v>133</v>
      </c>
      <c r="I246" s="253" t="s">
        <v>134</v>
      </c>
      <c r="J246" s="253" t="s">
        <v>135</v>
      </c>
      <c r="K246" s="253" t="s">
        <v>145</v>
      </c>
      <c r="L246" s="253" t="s">
        <v>146</v>
      </c>
      <c r="M246" s="285" t="s">
        <v>137</v>
      </c>
      <c r="N246" s="223" t="s">
        <v>138</v>
      </c>
      <c r="O246" s="277" t="s">
        <v>139</v>
      </c>
    </row>
    <row r="247" spans="4:16" s="318" customFormat="1" ht="15.75" x14ac:dyDescent="0.25">
      <c r="D247" s="319"/>
      <c r="E247" s="211"/>
      <c r="F247" s="121"/>
      <c r="G247" s="182"/>
      <c r="H247" s="182"/>
      <c r="I247" s="182"/>
      <c r="J247" s="182"/>
      <c r="K247" s="182"/>
      <c r="L247" s="182"/>
      <c r="M247" s="216" t="s">
        <v>140</v>
      </c>
      <c r="N247" s="216" t="s">
        <v>26</v>
      </c>
      <c r="O247" s="100" t="s">
        <v>26</v>
      </c>
    </row>
    <row r="248" spans="4:16" s="318" customFormat="1" ht="19.5" hidden="1" x14ac:dyDescent="0.25">
      <c r="D248" s="319"/>
      <c r="E248" s="101"/>
      <c r="F248" s="252"/>
      <c r="G248" s="276">
        <v>0.18</v>
      </c>
      <c r="H248" s="276">
        <v>0.19</v>
      </c>
      <c r="I248" s="276">
        <v>0.2</v>
      </c>
      <c r="J248" s="276">
        <v>0.21</v>
      </c>
      <c r="K248" s="276">
        <v>0.22</v>
      </c>
      <c r="L248" s="276">
        <v>0.23</v>
      </c>
      <c r="M248" s="252"/>
      <c r="N248" s="252"/>
      <c r="O248" s="166"/>
    </row>
    <row r="249" spans="4:16" s="318" customFormat="1" ht="19.5" x14ac:dyDescent="0.25">
      <c r="D249" s="319"/>
      <c r="E249" s="101">
        <v>1</v>
      </c>
      <c r="F249" s="101" t="s">
        <v>152</v>
      </c>
      <c r="G249" s="276"/>
      <c r="H249" s="276">
        <v>50</v>
      </c>
      <c r="I249" s="276"/>
      <c r="J249" s="276"/>
      <c r="K249" s="276"/>
      <c r="L249" s="276"/>
      <c r="M249" s="252">
        <v>50</v>
      </c>
      <c r="N249" s="252">
        <v>11</v>
      </c>
      <c r="O249" s="166">
        <v>12</v>
      </c>
    </row>
    <row r="250" spans="4:16" s="318" customFormat="1" ht="19.5" x14ac:dyDescent="0.25">
      <c r="D250" s="319"/>
      <c r="E250" s="101">
        <v>2</v>
      </c>
      <c r="F250" s="101" t="s">
        <v>152</v>
      </c>
      <c r="G250" s="276"/>
      <c r="H250" s="276">
        <v>50</v>
      </c>
      <c r="I250" s="276"/>
      <c r="J250" s="276"/>
      <c r="K250" s="276"/>
      <c r="L250" s="276"/>
      <c r="M250" s="252">
        <v>50</v>
      </c>
      <c r="N250" s="252">
        <v>11</v>
      </c>
      <c r="O250" s="166">
        <v>12</v>
      </c>
    </row>
    <row r="251" spans="4:16" s="318" customFormat="1" ht="19.5" x14ac:dyDescent="0.25">
      <c r="D251" s="319"/>
      <c r="E251" s="101">
        <v>3</v>
      </c>
      <c r="F251" s="101" t="s">
        <v>152</v>
      </c>
      <c r="G251" s="276"/>
      <c r="H251" s="276"/>
      <c r="I251" s="276">
        <v>50</v>
      </c>
      <c r="J251" s="276"/>
      <c r="K251" s="276"/>
      <c r="L251" s="276"/>
      <c r="M251" s="252">
        <v>50</v>
      </c>
      <c r="N251" s="252">
        <v>11.8</v>
      </c>
      <c r="O251" s="166">
        <v>12.8</v>
      </c>
    </row>
    <row r="252" spans="4:16" s="318" customFormat="1" ht="19.5" x14ac:dyDescent="0.25">
      <c r="D252" s="319"/>
      <c r="E252" s="101">
        <v>4</v>
      </c>
      <c r="F252" s="101" t="s">
        <v>152</v>
      </c>
      <c r="G252" s="276"/>
      <c r="H252" s="276"/>
      <c r="I252" s="276">
        <v>50</v>
      </c>
      <c r="J252" s="276"/>
      <c r="K252" s="276"/>
      <c r="L252" s="276"/>
      <c r="M252" s="252">
        <v>50</v>
      </c>
      <c r="N252" s="252">
        <v>11.8</v>
      </c>
      <c r="O252" s="166">
        <v>12.8</v>
      </c>
    </row>
    <row r="253" spans="4:16" s="318" customFormat="1" ht="19.5" x14ac:dyDescent="0.25">
      <c r="D253" s="319"/>
      <c r="E253" s="101">
        <v>5</v>
      </c>
      <c r="F253" s="101" t="s">
        <v>152</v>
      </c>
      <c r="G253" s="276"/>
      <c r="H253" s="276"/>
      <c r="I253" s="276">
        <v>42</v>
      </c>
      <c r="J253" s="276"/>
      <c r="K253" s="276"/>
      <c r="L253" s="276"/>
      <c r="M253" s="252">
        <v>42</v>
      </c>
      <c r="N253" s="252">
        <v>10.6</v>
      </c>
      <c r="O253" s="166">
        <v>11.6</v>
      </c>
    </row>
    <row r="254" spans="4:16" s="318" customFormat="1" ht="19.5" x14ac:dyDescent="0.25">
      <c r="D254" s="319"/>
      <c r="E254" s="101">
        <v>6</v>
      </c>
      <c r="F254" s="101" t="s">
        <v>152</v>
      </c>
      <c r="G254" s="276"/>
      <c r="H254" s="276"/>
      <c r="I254" s="276"/>
      <c r="J254" s="276">
        <v>50</v>
      </c>
      <c r="K254" s="276"/>
      <c r="L254" s="276"/>
      <c r="M254" s="252">
        <v>50</v>
      </c>
      <c r="N254" s="252">
        <v>12.4</v>
      </c>
      <c r="O254" s="166">
        <v>13.4</v>
      </c>
    </row>
    <row r="255" spans="4:16" s="318" customFormat="1" ht="19.5" x14ac:dyDescent="0.25">
      <c r="D255" s="319"/>
      <c r="E255" s="101">
        <v>7</v>
      </c>
      <c r="F255" s="101" t="s">
        <v>152</v>
      </c>
      <c r="G255" s="276"/>
      <c r="H255" s="276"/>
      <c r="I255" s="276"/>
      <c r="J255" s="276">
        <v>50</v>
      </c>
      <c r="K255" s="276"/>
      <c r="L255" s="276"/>
      <c r="M255" s="252">
        <v>50</v>
      </c>
      <c r="N255" s="252">
        <v>12.4</v>
      </c>
      <c r="O255" s="166">
        <v>13.4</v>
      </c>
    </row>
    <row r="256" spans="4:16" s="318" customFormat="1" ht="19.5" x14ac:dyDescent="0.25">
      <c r="D256" s="319"/>
      <c r="E256" s="101">
        <v>8</v>
      </c>
      <c r="F256" s="101" t="s">
        <v>152</v>
      </c>
      <c r="G256" s="276"/>
      <c r="H256" s="276"/>
      <c r="I256" s="276"/>
      <c r="J256" s="276"/>
      <c r="K256" s="276">
        <v>37</v>
      </c>
      <c r="L256" s="276"/>
      <c r="M256" s="252">
        <v>37</v>
      </c>
      <c r="N256" s="252">
        <v>12</v>
      </c>
      <c r="O256" s="166">
        <v>13</v>
      </c>
    </row>
    <row r="257" spans="4:16" s="318" customFormat="1" ht="19.5" x14ac:dyDescent="0.25">
      <c r="D257" s="319"/>
      <c r="E257" s="101">
        <v>9</v>
      </c>
      <c r="F257" s="101" t="s">
        <v>152</v>
      </c>
      <c r="G257" s="276">
        <v>17</v>
      </c>
      <c r="H257" s="276">
        <v>4</v>
      </c>
      <c r="I257" s="276"/>
      <c r="J257" s="276">
        <v>6</v>
      </c>
      <c r="K257" s="276"/>
      <c r="L257" s="276">
        <v>5</v>
      </c>
      <c r="M257" s="252">
        <v>32</v>
      </c>
      <c r="N257" s="252">
        <v>9</v>
      </c>
      <c r="O257" s="166">
        <v>10</v>
      </c>
    </row>
    <row r="258" spans="4:16" s="318" customFormat="1" ht="20.25" thickBot="1" x14ac:dyDescent="0.3">
      <c r="D258" s="319"/>
      <c r="E258" s="197"/>
      <c r="F258" s="196" t="s">
        <v>148</v>
      </c>
      <c r="G258" s="196"/>
      <c r="H258" s="196"/>
      <c r="I258" s="196"/>
      <c r="J258" s="196"/>
      <c r="K258" s="196"/>
      <c r="L258" s="196"/>
      <c r="M258" s="196">
        <v>411</v>
      </c>
      <c r="N258" s="225">
        <v>102</v>
      </c>
      <c r="O258" s="225">
        <v>111</v>
      </c>
    </row>
    <row r="259" spans="4:16" ht="19.5" x14ac:dyDescent="0.25">
      <c r="D259" s="4"/>
      <c r="E259" s="280"/>
      <c r="F259" s="243"/>
      <c r="G259" s="164" t="s">
        <v>132</v>
      </c>
      <c r="H259" s="164" t="s">
        <v>133</v>
      </c>
      <c r="I259" s="164" t="s">
        <v>134</v>
      </c>
      <c r="J259" s="164" t="s">
        <v>135</v>
      </c>
      <c r="K259" s="164" t="s">
        <v>145</v>
      </c>
      <c r="L259" s="164" t="s">
        <v>146</v>
      </c>
      <c r="M259" s="183" t="s">
        <v>137</v>
      </c>
      <c r="N259" s="280"/>
      <c r="O259" s="302"/>
    </row>
    <row r="260" spans="4:16" ht="19.5" x14ac:dyDescent="0.25">
      <c r="D260" s="4"/>
      <c r="E260" s="280"/>
      <c r="F260" s="101" t="s">
        <v>152</v>
      </c>
      <c r="G260" s="119">
        <v>17</v>
      </c>
      <c r="H260" s="119">
        <v>104</v>
      </c>
      <c r="I260" s="119">
        <v>142</v>
      </c>
      <c r="J260" s="119">
        <v>106</v>
      </c>
      <c r="K260" s="119">
        <v>37</v>
      </c>
      <c r="L260" s="119">
        <v>5</v>
      </c>
      <c r="M260" s="292">
        <v>411</v>
      </c>
      <c r="N260" s="280"/>
      <c r="O260" s="302"/>
    </row>
    <row r="261" spans="4:16" s="318" customFormat="1" ht="19.5" x14ac:dyDescent="0.25">
      <c r="D261" s="319"/>
      <c r="E261" s="280"/>
      <c r="F261" s="130"/>
      <c r="G261" s="130"/>
      <c r="H261" s="130"/>
      <c r="I261" s="130"/>
      <c r="J261" s="130"/>
      <c r="K261" s="130"/>
      <c r="L261" s="130"/>
      <c r="M261" s="130"/>
      <c r="N261" s="280"/>
      <c r="O261" s="302"/>
    </row>
    <row r="262" spans="4:16" ht="15.75" x14ac:dyDescent="0.25">
      <c r="D262" s="4" t="s">
        <v>96</v>
      </c>
      <c r="E262" s="319" t="s">
        <v>79</v>
      </c>
      <c r="F262" s="319"/>
      <c r="G262" s="319"/>
      <c r="H262" s="318"/>
      <c r="I262" s="318"/>
      <c r="J262" s="318"/>
      <c r="K262" s="129">
        <v>206</v>
      </c>
      <c r="L262" s="320" t="s">
        <v>143</v>
      </c>
      <c r="M262" s="129">
        <v>50.4</v>
      </c>
      <c r="N262" s="320" t="s">
        <v>144</v>
      </c>
      <c r="O262" s="129">
        <v>55.4</v>
      </c>
      <c r="P262" s="320" t="s">
        <v>144</v>
      </c>
    </row>
    <row r="263" spans="4:16" ht="15.75" x14ac:dyDescent="0.25">
      <c r="D263" s="4"/>
      <c r="E263" s="319" t="s">
        <v>107</v>
      </c>
      <c r="F263" s="319"/>
      <c r="G263" s="319"/>
      <c r="H263" s="318"/>
      <c r="I263" s="318"/>
      <c r="J263" s="318"/>
      <c r="K263" s="318"/>
      <c r="L263" s="318"/>
      <c r="M263" s="318"/>
      <c r="N263" s="318"/>
      <c r="O263" s="318"/>
    </row>
    <row r="264" spans="4:16" ht="15.75" x14ac:dyDescent="0.25">
      <c r="D264" s="4"/>
      <c r="E264" s="319" t="s">
        <v>117</v>
      </c>
      <c r="F264" s="319"/>
      <c r="G264" s="319"/>
      <c r="H264" s="318"/>
      <c r="I264" s="318"/>
      <c r="J264" s="318"/>
      <c r="K264" s="318"/>
      <c r="L264" s="318"/>
      <c r="M264" s="318"/>
      <c r="N264" s="318"/>
      <c r="O264" s="318"/>
    </row>
    <row r="265" spans="4:16" ht="15.75" x14ac:dyDescent="0.25">
      <c r="D265" s="4"/>
      <c r="E265" s="319" t="s">
        <v>60</v>
      </c>
      <c r="F265" s="319"/>
      <c r="G265" s="319"/>
      <c r="H265" s="318"/>
      <c r="I265" s="318"/>
      <c r="J265" s="318"/>
      <c r="K265" s="318"/>
      <c r="L265" s="318"/>
      <c r="M265" s="318"/>
      <c r="N265" s="318"/>
      <c r="O265" s="318"/>
    </row>
    <row r="266" spans="4:16" ht="16.5" thickBot="1" x14ac:dyDescent="0.3">
      <c r="D266" s="4"/>
      <c r="E266" s="319" t="s">
        <v>66</v>
      </c>
      <c r="F266" s="319"/>
      <c r="G266" s="319"/>
      <c r="H266" s="318"/>
      <c r="I266" s="318"/>
      <c r="J266" s="318"/>
      <c r="K266" s="318"/>
      <c r="L266" s="318"/>
      <c r="M266" s="318"/>
      <c r="N266" s="318"/>
      <c r="O266" s="318"/>
    </row>
    <row r="267" spans="4:16" s="318" customFormat="1" ht="16.5" x14ac:dyDescent="0.25">
      <c r="D267" s="319"/>
      <c r="E267" s="122" t="s">
        <v>129</v>
      </c>
      <c r="F267" s="175" t="s">
        <v>130</v>
      </c>
      <c r="G267" s="167" t="s">
        <v>132</v>
      </c>
      <c r="H267" s="167" t="s">
        <v>133</v>
      </c>
      <c r="I267" s="167" t="s">
        <v>134</v>
      </c>
      <c r="J267" s="167" t="s">
        <v>135</v>
      </c>
      <c r="K267" s="167" t="s">
        <v>145</v>
      </c>
      <c r="L267" s="167" t="s">
        <v>146</v>
      </c>
      <c r="M267" s="256" t="s">
        <v>137</v>
      </c>
      <c r="N267" s="136" t="s">
        <v>138</v>
      </c>
      <c r="O267" s="199" t="s">
        <v>139</v>
      </c>
    </row>
    <row r="268" spans="4:16" s="318" customFormat="1" ht="15.75" x14ac:dyDescent="0.25">
      <c r="D268" s="319"/>
      <c r="E268" s="250"/>
      <c r="F268" s="275"/>
      <c r="G268" s="154"/>
      <c r="H268" s="154" t="s">
        <v>133</v>
      </c>
      <c r="I268" s="154" t="s">
        <v>134</v>
      </c>
      <c r="J268" s="154" t="s">
        <v>135</v>
      </c>
      <c r="K268" s="154" t="s">
        <v>145</v>
      </c>
      <c r="L268" s="154" t="s">
        <v>146</v>
      </c>
      <c r="M268" s="125" t="s">
        <v>140</v>
      </c>
      <c r="N268" s="245" t="s">
        <v>26</v>
      </c>
      <c r="O268" s="139" t="s">
        <v>26</v>
      </c>
    </row>
    <row r="269" spans="4:16" s="318" customFormat="1" ht="19.5" hidden="1" x14ac:dyDescent="0.25">
      <c r="D269" s="319"/>
      <c r="E269" s="145"/>
      <c r="F269" s="288"/>
      <c r="G269" s="169">
        <v>0.18</v>
      </c>
      <c r="H269" s="169">
        <v>0.19</v>
      </c>
      <c r="I269" s="169">
        <v>0.2</v>
      </c>
      <c r="J269" s="169">
        <v>0.21</v>
      </c>
      <c r="K269" s="169">
        <v>0.22</v>
      </c>
      <c r="L269" s="169">
        <v>0.23</v>
      </c>
      <c r="M269" s="288"/>
      <c r="N269" s="158"/>
      <c r="O269" s="228"/>
    </row>
    <row r="270" spans="4:16" s="318" customFormat="1" ht="19.5" x14ac:dyDescent="0.25">
      <c r="D270" s="319"/>
      <c r="E270" s="145">
        <v>1</v>
      </c>
      <c r="F270" s="158" t="s">
        <v>153</v>
      </c>
      <c r="G270" s="169"/>
      <c r="H270" s="169">
        <v>47</v>
      </c>
      <c r="I270" s="169"/>
      <c r="J270" s="169"/>
      <c r="K270" s="169"/>
      <c r="L270" s="169"/>
      <c r="M270" s="158">
        <v>47</v>
      </c>
      <c r="N270" s="158">
        <v>11</v>
      </c>
      <c r="O270" s="228">
        <v>12</v>
      </c>
    </row>
    <row r="271" spans="4:16" s="318" customFormat="1" ht="19.5" x14ac:dyDescent="0.25">
      <c r="D271" s="319"/>
      <c r="E271" s="145">
        <v>2</v>
      </c>
      <c r="F271" s="158" t="s">
        <v>153</v>
      </c>
      <c r="G271" s="169"/>
      <c r="H271" s="169"/>
      <c r="I271" s="169">
        <v>50</v>
      </c>
      <c r="J271" s="169"/>
      <c r="K271" s="169"/>
      <c r="L271" s="169"/>
      <c r="M271" s="158">
        <v>50</v>
      </c>
      <c r="N271" s="158">
        <v>11.4</v>
      </c>
      <c r="O271" s="228">
        <v>12.4</v>
      </c>
    </row>
    <row r="272" spans="4:16" s="318" customFormat="1" ht="19.5" x14ac:dyDescent="0.25">
      <c r="D272" s="319"/>
      <c r="E272" s="145">
        <v>3</v>
      </c>
      <c r="F272" s="158" t="s">
        <v>153</v>
      </c>
      <c r="G272" s="169"/>
      <c r="H272" s="169"/>
      <c r="I272" s="169"/>
      <c r="J272" s="169">
        <v>50</v>
      </c>
      <c r="K272" s="169"/>
      <c r="L272" s="169"/>
      <c r="M272" s="158">
        <v>50</v>
      </c>
      <c r="N272" s="158">
        <v>12</v>
      </c>
      <c r="O272" s="228">
        <v>13</v>
      </c>
    </row>
    <row r="273" spans="4:16" s="318" customFormat="1" ht="19.5" x14ac:dyDescent="0.25">
      <c r="D273" s="319"/>
      <c r="E273" s="145">
        <v>4</v>
      </c>
      <c r="F273" s="158" t="s">
        <v>153</v>
      </c>
      <c r="G273" s="169">
        <v>7</v>
      </c>
      <c r="H273" s="169"/>
      <c r="I273" s="169">
        <v>21</v>
      </c>
      <c r="J273" s="169"/>
      <c r="K273" s="169"/>
      <c r="L273" s="169">
        <v>3</v>
      </c>
      <c r="M273" s="158">
        <v>31</v>
      </c>
      <c r="N273" s="158">
        <v>9</v>
      </c>
      <c r="O273" s="228">
        <v>10</v>
      </c>
    </row>
    <row r="274" spans="4:16" s="318" customFormat="1" ht="19.5" x14ac:dyDescent="0.25">
      <c r="D274" s="319"/>
      <c r="E274" s="145">
        <v>5</v>
      </c>
      <c r="F274" s="158" t="s">
        <v>153</v>
      </c>
      <c r="G274" s="169"/>
      <c r="H274" s="169"/>
      <c r="I274" s="169"/>
      <c r="J274" s="169">
        <v>7</v>
      </c>
      <c r="K274" s="169">
        <v>21</v>
      </c>
      <c r="L274" s="169"/>
      <c r="M274" s="158">
        <v>28</v>
      </c>
      <c r="N274" s="158">
        <v>7</v>
      </c>
      <c r="O274" s="228">
        <v>8</v>
      </c>
    </row>
    <row r="275" spans="4:16" s="318" customFormat="1" ht="20.25" thickBot="1" x14ac:dyDescent="0.3">
      <c r="D275" s="319"/>
      <c r="E275" s="263" t="s">
        <v>148</v>
      </c>
      <c r="F275" s="200"/>
      <c r="G275" s="264"/>
      <c r="H275" s="264"/>
      <c r="I275" s="264"/>
      <c r="J275" s="264"/>
      <c r="K275" s="264"/>
      <c r="L275" s="264"/>
      <c r="M275" s="262">
        <v>206</v>
      </c>
      <c r="N275" s="281">
        <v>50.4</v>
      </c>
      <c r="O275" s="116">
        <v>55.4</v>
      </c>
    </row>
    <row r="276" spans="4:16" s="318" customFormat="1" ht="19.5" x14ac:dyDescent="0.25">
      <c r="D276" s="319"/>
      <c r="E276" s="269"/>
      <c r="F276" s="307"/>
      <c r="G276" s="310" t="s">
        <v>132</v>
      </c>
      <c r="H276" s="310" t="s">
        <v>133</v>
      </c>
      <c r="I276" s="310" t="s">
        <v>134</v>
      </c>
      <c r="J276" s="310" t="s">
        <v>135</v>
      </c>
      <c r="K276" s="310" t="s">
        <v>145</v>
      </c>
      <c r="L276" s="310" t="s">
        <v>146</v>
      </c>
      <c r="M276" s="314" t="s">
        <v>137</v>
      </c>
      <c r="N276" s="269"/>
      <c r="O276" s="177"/>
    </row>
    <row r="277" spans="4:16" s="318" customFormat="1" ht="19.5" x14ac:dyDescent="0.25">
      <c r="D277" s="319"/>
      <c r="E277" s="269"/>
      <c r="F277" s="158" t="s">
        <v>153</v>
      </c>
      <c r="G277" s="158">
        <v>7</v>
      </c>
      <c r="H277" s="158">
        <v>47</v>
      </c>
      <c r="I277" s="158">
        <v>71</v>
      </c>
      <c r="J277" s="158">
        <v>57</v>
      </c>
      <c r="K277" s="158">
        <v>21</v>
      </c>
      <c r="L277" s="158">
        <v>3</v>
      </c>
      <c r="M277" s="228">
        <v>206</v>
      </c>
      <c r="N277" s="269"/>
      <c r="O277" s="177"/>
    </row>
    <row r="278" spans="4:16" ht="15.75" x14ac:dyDescent="0.25">
      <c r="D278" s="4"/>
      <c r="E278" s="319"/>
      <c r="F278" s="319"/>
      <c r="G278" s="319"/>
      <c r="H278" s="318"/>
      <c r="I278" s="318"/>
      <c r="J278" s="318"/>
      <c r="K278" s="318"/>
      <c r="L278" s="318"/>
      <c r="M278" s="318"/>
      <c r="N278" s="318"/>
      <c r="O278" s="318"/>
    </row>
    <row r="279" spans="4:16" ht="15.75" x14ac:dyDescent="0.25">
      <c r="D279" s="4" t="s">
        <v>97</v>
      </c>
      <c r="E279" s="319" t="s">
        <v>79</v>
      </c>
      <c r="F279" s="319"/>
      <c r="G279" s="319"/>
      <c r="H279" s="318"/>
      <c r="I279" s="318"/>
      <c r="J279" s="318"/>
      <c r="K279" s="129">
        <v>203</v>
      </c>
      <c r="L279" s="320" t="s">
        <v>143</v>
      </c>
      <c r="M279" s="129">
        <v>48</v>
      </c>
      <c r="N279" s="320" t="s">
        <v>144</v>
      </c>
      <c r="O279" s="129">
        <v>53</v>
      </c>
      <c r="P279" s="320" t="s">
        <v>144</v>
      </c>
    </row>
    <row r="280" spans="4:16" ht="15.75" x14ac:dyDescent="0.25">
      <c r="D280" s="4"/>
      <c r="E280" s="319" t="s">
        <v>80</v>
      </c>
      <c r="F280" s="319"/>
      <c r="G280" s="319"/>
      <c r="H280" s="318"/>
      <c r="I280" s="318"/>
      <c r="J280" s="318"/>
      <c r="K280" s="318"/>
      <c r="L280" s="318"/>
      <c r="M280" s="318"/>
      <c r="N280" s="318"/>
      <c r="O280" s="318"/>
    </row>
    <row r="281" spans="4:16" ht="15.75" x14ac:dyDescent="0.25">
      <c r="D281" s="4"/>
      <c r="E281" s="319" t="s">
        <v>82</v>
      </c>
      <c r="F281" s="319"/>
      <c r="G281" s="319"/>
      <c r="H281" s="318"/>
      <c r="I281" s="318"/>
      <c r="J281" s="318"/>
      <c r="K281" s="318"/>
      <c r="L281" s="318"/>
      <c r="M281" s="318"/>
      <c r="N281" s="318"/>
      <c r="O281" s="318"/>
    </row>
    <row r="282" spans="4:16" ht="15.75" x14ac:dyDescent="0.25">
      <c r="D282" s="4"/>
      <c r="E282" s="319" t="s">
        <v>60</v>
      </c>
      <c r="F282" s="319"/>
      <c r="G282" s="319"/>
      <c r="H282" s="318"/>
      <c r="I282" s="318"/>
      <c r="J282" s="318"/>
      <c r="K282" s="318"/>
      <c r="L282" s="318"/>
      <c r="M282" s="318"/>
      <c r="N282" s="318"/>
      <c r="O282" s="318"/>
    </row>
    <row r="283" spans="4:16" ht="16.5" thickBot="1" x14ac:dyDescent="0.3">
      <c r="D283" s="4"/>
      <c r="E283" s="319" t="s">
        <v>66</v>
      </c>
      <c r="F283" s="319"/>
      <c r="G283" s="319"/>
      <c r="H283" s="318"/>
      <c r="I283" s="318"/>
      <c r="J283" s="318"/>
      <c r="K283" s="318"/>
      <c r="L283" s="318"/>
      <c r="M283" s="318"/>
      <c r="N283" s="318"/>
      <c r="O283" s="318"/>
    </row>
    <row r="284" spans="4:16" s="318" customFormat="1" ht="16.5" x14ac:dyDescent="0.25">
      <c r="D284" s="319"/>
      <c r="E284" s="122" t="s">
        <v>129</v>
      </c>
      <c r="F284" s="175" t="s">
        <v>130</v>
      </c>
      <c r="G284" s="167" t="s">
        <v>132</v>
      </c>
      <c r="H284" s="167" t="s">
        <v>133</v>
      </c>
      <c r="I284" s="167" t="s">
        <v>134</v>
      </c>
      <c r="J284" s="167" t="s">
        <v>135</v>
      </c>
      <c r="K284" s="167" t="s">
        <v>145</v>
      </c>
      <c r="L284" s="167" t="s">
        <v>146</v>
      </c>
      <c r="M284" s="102" t="s">
        <v>137</v>
      </c>
      <c r="N284" s="193" t="s">
        <v>138</v>
      </c>
      <c r="O284" s="271" t="s">
        <v>139</v>
      </c>
    </row>
    <row r="285" spans="4:16" s="318" customFormat="1" ht="15.75" x14ac:dyDescent="0.25">
      <c r="D285" s="319"/>
      <c r="E285" s="250"/>
      <c r="F285" s="275"/>
      <c r="G285" s="154"/>
      <c r="H285" s="154" t="s">
        <v>133</v>
      </c>
      <c r="I285" s="154" t="s">
        <v>134</v>
      </c>
      <c r="J285" s="154" t="s">
        <v>135</v>
      </c>
      <c r="K285" s="154" t="s">
        <v>145</v>
      </c>
      <c r="L285" s="154" t="s">
        <v>146</v>
      </c>
      <c r="M285" s="236" t="s">
        <v>140</v>
      </c>
      <c r="N285" s="134" t="s">
        <v>26</v>
      </c>
      <c r="O285" s="297" t="s">
        <v>26</v>
      </c>
    </row>
    <row r="286" spans="4:16" s="318" customFormat="1" ht="19.5" hidden="1" x14ac:dyDescent="0.25">
      <c r="D286" s="319"/>
      <c r="E286" s="274"/>
      <c r="F286" s="128"/>
      <c r="G286" s="259">
        <v>0.18</v>
      </c>
      <c r="H286" s="259">
        <v>0.19</v>
      </c>
      <c r="I286" s="259">
        <v>0.2</v>
      </c>
      <c r="J286" s="259">
        <v>0.21</v>
      </c>
      <c r="K286" s="259">
        <v>0.22</v>
      </c>
      <c r="L286" s="259">
        <v>0.23</v>
      </c>
      <c r="M286" s="128"/>
      <c r="N286" s="104"/>
      <c r="O286" s="227"/>
    </row>
    <row r="287" spans="4:16" s="318" customFormat="1" ht="19.5" x14ac:dyDescent="0.25">
      <c r="D287" s="319"/>
      <c r="E287" s="274">
        <v>1</v>
      </c>
      <c r="F287" s="104" t="s">
        <v>153</v>
      </c>
      <c r="G287" s="259"/>
      <c r="H287" s="259">
        <v>50</v>
      </c>
      <c r="I287" s="259"/>
      <c r="J287" s="259"/>
      <c r="K287" s="259"/>
      <c r="L287" s="259"/>
      <c r="M287" s="104">
        <v>50</v>
      </c>
      <c r="N287" s="104">
        <v>11.4</v>
      </c>
      <c r="O287" s="227">
        <v>12.4</v>
      </c>
    </row>
    <row r="288" spans="4:16" s="318" customFormat="1" ht="19.5" x14ac:dyDescent="0.25">
      <c r="D288" s="319"/>
      <c r="E288" s="274">
        <v>2</v>
      </c>
      <c r="F288" s="104" t="s">
        <v>153</v>
      </c>
      <c r="G288" s="259"/>
      <c r="H288" s="259"/>
      <c r="I288" s="259">
        <v>50</v>
      </c>
      <c r="J288" s="259"/>
      <c r="K288" s="259"/>
      <c r="L288" s="259"/>
      <c r="M288" s="104">
        <v>50</v>
      </c>
      <c r="N288" s="104">
        <v>12</v>
      </c>
      <c r="O288" s="227">
        <v>13</v>
      </c>
    </row>
    <row r="289" spans="4:16" s="318" customFormat="1" ht="19.5" x14ac:dyDescent="0.25">
      <c r="D289" s="319"/>
      <c r="E289" s="274">
        <v>3</v>
      </c>
      <c r="F289" s="104" t="s">
        <v>153</v>
      </c>
      <c r="G289" s="259"/>
      <c r="H289" s="259"/>
      <c r="I289" s="259"/>
      <c r="J289" s="259">
        <v>50</v>
      </c>
      <c r="K289" s="259"/>
      <c r="L289" s="259"/>
      <c r="M289" s="104">
        <v>50</v>
      </c>
      <c r="N289" s="104">
        <v>12.6</v>
      </c>
      <c r="O289" s="227">
        <v>13.6</v>
      </c>
    </row>
    <row r="290" spans="4:16" s="318" customFormat="1" ht="19.5" x14ac:dyDescent="0.25">
      <c r="D290" s="319"/>
      <c r="E290" s="274">
        <v>4</v>
      </c>
      <c r="F290" s="104" t="s">
        <v>153</v>
      </c>
      <c r="G290" s="259">
        <v>9</v>
      </c>
      <c r="H290" s="259"/>
      <c r="I290" s="259">
        <v>19</v>
      </c>
      <c r="J290" s="259">
        <v>2</v>
      </c>
      <c r="K290" s="259"/>
      <c r="L290" s="259"/>
      <c r="M290" s="104">
        <v>30</v>
      </c>
      <c r="N290" s="104">
        <v>6</v>
      </c>
      <c r="O290" s="227">
        <v>7</v>
      </c>
    </row>
    <row r="291" spans="4:16" s="318" customFormat="1" ht="19.5" x14ac:dyDescent="0.25">
      <c r="D291" s="319"/>
      <c r="E291" s="274">
        <v>5</v>
      </c>
      <c r="F291" s="104" t="s">
        <v>153</v>
      </c>
      <c r="G291" s="259"/>
      <c r="H291" s="259"/>
      <c r="I291" s="259"/>
      <c r="J291" s="259"/>
      <c r="K291" s="259">
        <v>21</v>
      </c>
      <c r="L291" s="259">
        <v>2</v>
      </c>
      <c r="M291" s="104">
        <v>23</v>
      </c>
      <c r="N291" s="104">
        <v>6</v>
      </c>
      <c r="O291" s="227">
        <v>7</v>
      </c>
    </row>
    <row r="292" spans="4:16" s="318" customFormat="1" ht="20.25" thickBot="1" x14ac:dyDescent="0.3">
      <c r="D292" s="319"/>
      <c r="E292" s="263" t="s">
        <v>148</v>
      </c>
      <c r="F292" s="200"/>
      <c r="G292" s="246"/>
      <c r="H292" s="246"/>
      <c r="I292" s="246"/>
      <c r="J292" s="246"/>
      <c r="K292" s="246"/>
      <c r="L292" s="246"/>
      <c r="M292" s="218">
        <v>203</v>
      </c>
      <c r="N292" s="293">
        <v>48</v>
      </c>
      <c r="O292" s="174">
        <v>53</v>
      </c>
    </row>
    <row r="293" spans="4:16" s="318" customFormat="1" ht="19.5" x14ac:dyDescent="0.25">
      <c r="D293" s="319"/>
      <c r="E293" s="213"/>
      <c r="F293" s="305"/>
      <c r="G293" s="108" t="s">
        <v>132</v>
      </c>
      <c r="H293" s="108" t="s">
        <v>133</v>
      </c>
      <c r="I293" s="108" t="s">
        <v>134</v>
      </c>
      <c r="J293" s="108" t="s">
        <v>135</v>
      </c>
      <c r="K293" s="108" t="s">
        <v>145</v>
      </c>
      <c r="L293" s="108" t="s">
        <v>146</v>
      </c>
      <c r="M293" s="190" t="s">
        <v>137</v>
      </c>
      <c r="N293" s="213"/>
      <c r="O293" s="150"/>
    </row>
    <row r="294" spans="4:16" ht="19.5" x14ac:dyDescent="0.25">
      <c r="D294" s="4"/>
      <c r="E294" s="213"/>
      <c r="F294" s="104" t="s">
        <v>153</v>
      </c>
      <c r="G294" s="104">
        <v>9</v>
      </c>
      <c r="H294" s="104">
        <v>50</v>
      </c>
      <c r="I294" s="104">
        <v>69</v>
      </c>
      <c r="J294" s="104">
        <v>52</v>
      </c>
      <c r="K294" s="104">
        <v>21</v>
      </c>
      <c r="L294" s="104">
        <v>2</v>
      </c>
      <c r="M294" s="227">
        <v>203</v>
      </c>
      <c r="N294" s="213"/>
      <c r="O294" s="150"/>
    </row>
    <row r="295" spans="4:16" ht="15.75" x14ac:dyDescent="0.25">
      <c r="D295" s="4"/>
      <c r="E295" s="319"/>
      <c r="F295" s="319"/>
      <c r="G295" s="319"/>
      <c r="H295" s="318"/>
      <c r="I295" s="318"/>
      <c r="J295" s="318"/>
      <c r="K295" s="318"/>
      <c r="L295" s="318"/>
      <c r="M295" s="318"/>
      <c r="N295" s="318"/>
      <c r="O295" s="318"/>
    </row>
    <row r="296" spans="4:16" ht="15.75" x14ac:dyDescent="0.25">
      <c r="D296" s="4" t="s">
        <v>98</v>
      </c>
      <c r="E296" s="4" t="s">
        <v>79</v>
      </c>
      <c r="F296" s="4"/>
      <c r="G296" s="4"/>
      <c r="K296" s="129">
        <v>203</v>
      </c>
      <c r="L296" s="320" t="s">
        <v>143</v>
      </c>
      <c r="M296" s="129">
        <v>52</v>
      </c>
      <c r="N296" s="320" t="s">
        <v>144</v>
      </c>
      <c r="O296" s="129">
        <v>57</v>
      </c>
      <c r="P296" s="320" t="s">
        <v>144</v>
      </c>
    </row>
    <row r="297" spans="4:16" ht="15.75" x14ac:dyDescent="0.25">
      <c r="D297" s="4"/>
      <c r="E297" s="4" t="s">
        <v>108</v>
      </c>
      <c r="F297" s="4"/>
      <c r="G297" s="4"/>
    </row>
    <row r="298" spans="4:16" ht="15.75" x14ac:dyDescent="0.25">
      <c r="D298" s="4"/>
      <c r="E298" s="4" t="s">
        <v>118</v>
      </c>
      <c r="F298" s="4"/>
      <c r="G298" s="4"/>
    </row>
    <row r="299" spans="4:16" ht="15.75" x14ac:dyDescent="0.25">
      <c r="D299" s="4"/>
      <c r="E299" s="4" t="s">
        <v>112</v>
      </c>
      <c r="F299" s="4"/>
      <c r="G299" s="4"/>
    </row>
    <row r="300" spans="4:16" ht="16.5" thickBot="1" x14ac:dyDescent="0.3">
      <c r="D300" s="4"/>
      <c r="E300" s="4" t="s">
        <v>66</v>
      </c>
      <c r="F300" s="4"/>
      <c r="G300" s="4"/>
    </row>
    <row r="301" spans="4:16" s="318" customFormat="1" ht="16.5" x14ac:dyDescent="0.25">
      <c r="D301" s="319"/>
      <c r="E301" s="272" t="s">
        <v>129</v>
      </c>
      <c r="F301" s="215" t="s">
        <v>130</v>
      </c>
      <c r="G301" s="253" t="s">
        <v>132</v>
      </c>
      <c r="H301" s="253" t="s">
        <v>133</v>
      </c>
      <c r="I301" s="253" t="s">
        <v>134</v>
      </c>
      <c r="J301" s="253" t="s">
        <v>135</v>
      </c>
      <c r="K301" s="253" t="s">
        <v>145</v>
      </c>
      <c r="L301" s="253" t="s">
        <v>146</v>
      </c>
      <c r="M301" s="156" t="s">
        <v>137</v>
      </c>
      <c r="N301" s="221" t="s">
        <v>138</v>
      </c>
      <c r="O301" s="255" t="s">
        <v>139</v>
      </c>
    </row>
    <row r="302" spans="4:16" s="318" customFormat="1" ht="15.75" x14ac:dyDescent="0.25">
      <c r="D302" s="319"/>
      <c r="E302" s="211"/>
      <c r="F302" s="121"/>
      <c r="G302" s="182"/>
      <c r="H302" s="182"/>
      <c r="I302" s="182"/>
      <c r="J302" s="182"/>
      <c r="K302" s="182"/>
      <c r="L302" s="182"/>
      <c r="M302" s="206" t="s">
        <v>140</v>
      </c>
      <c r="N302" s="135" t="s">
        <v>26</v>
      </c>
      <c r="O302" s="151" t="s">
        <v>26</v>
      </c>
    </row>
    <row r="303" spans="4:16" s="318" customFormat="1" ht="19.5" hidden="1" x14ac:dyDescent="0.25">
      <c r="D303" s="319"/>
      <c r="E303" s="241"/>
      <c r="F303" s="284"/>
      <c r="G303" s="141">
        <v>0.18</v>
      </c>
      <c r="H303" s="141">
        <v>0.19</v>
      </c>
      <c r="I303" s="141">
        <v>0.2</v>
      </c>
      <c r="J303" s="141">
        <v>0.21</v>
      </c>
      <c r="K303" s="141">
        <v>0.22</v>
      </c>
      <c r="L303" s="141">
        <v>0.23</v>
      </c>
      <c r="M303" s="284"/>
      <c r="N303" s="235"/>
      <c r="O303" s="97"/>
    </row>
    <row r="304" spans="4:16" s="318" customFormat="1" ht="19.5" x14ac:dyDescent="0.25">
      <c r="D304" s="319"/>
      <c r="E304" s="241">
        <v>1</v>
      </c>
      <c r="F304" s="241" t="s">
        <v>153</v>
      </c>
      <c r="G304" s="141">
        <v>10</v>
      </c>
      <c r="H304" s="141">
        <v>32</v>
      </c>
      <c r="I304" s="141"/>
      <c r="J304" s="141"/>
      <c r="K304" s="141"/>
      <c r="L304" s="141"/>
      <c r="M304" s="235">
        <v>42</v>
      </c>
      <c r="N304" s="97">
        <v>9.6</v>
      </c>
      <c r="O304" s="97">
        <v>10.6</v>
      </c>
    </row>
    <row r="305" spans="4:16" s="318" customFormat="1" ht="19.5" x14ac:dyDescent="0.25">
      <c r="D305" s="319"/>
      <c r="E305" s="241">
        <v>2</v>
      </c>
      <c r="F305" s="241" t="s">
        <v>153</v>
      </c>
      <c r="G305" s="141"/>
      <c r="H305" s="141"/>
      <c r="I305" s="141">
        <v>50</v>
      </c>
      <c r="J305" s="141"/>
      <c r="K305" s="141"/>
      <c r="L305" s="141"/>
      <c r="M305" s="235">
        <v>50</v>
      </c>
      <c r="N305" s="97">
        <v>12</v>
      </c>
      <c r="O305" s="97">
        <v>13</v>
      </c>
    </row>
    <row r="306" spans="4:16" s="318" customFormat="1" ht="19.5" x14ac:dyDescent="0.25">
      <c r="D306" s="319"/>
      <c r="E306" s="241">
        <v>3</v>
      </c>
      <c r="F306" s="241" t="s">
        <v>153</v>
      </c>
      <c r="G306" s="141"/>
      <c r="H306" s="141"/>
      <c r="I306" s="141"/>
      <c r="J306" s="141">
        <v>50</v>
      </c>
      <c r="K306" s="141"/>
      <c r="L306" s="141"/>
      <c r="M306" s="235">
        <v>50</v>
      </c>
      <c r="N306" s="97">
        <v>12.6</v>
      </c>
      <c r="O306" s="97">
        <v>13.6</v>
      </c>
    </row>
    <row r="307" spans="4:16" s="318" customFormat="1" ht="19.5" x14ac:dyDescent="0.25">
      <c r="D307" s="319"/>
      <c r="E307" s="241">
        <v>4</v>
      </c>
      <c r="F307" s="241" t="s">
        <v>153</v>
      </c>
      <c r="G307" s="141"/>
      <c r="H307" s="141"/>
      <c r="I307" s="141"/>
      <c r="J307" s="141"/>
      <c r="K307" s="141">
        <v>40</v>
      </c>
      <c r="L307" s="141"/>
      <c r="M307" s="235">
        <v>40</v>
      </c>
      <c r="N307" s="97">
        <v>10.8</v>
      </c>
      <c r="O307" s="97">
        <v>11.8</v>
      </c>
    </row>
    <row r="308" spans="4:16" s="318" customFormat="1" ht="19.5" x14ac:dyDescent="0.25">
      <c r="D308" s="319"/>
      <c r="E308" s="241">
        <v>5</v>
      </c>
      <c r="F308" s="241" t="s">
        <v>153</v>
      </c>
      <c r="G308" s="141"/>
      <c r="H308" s="141"/>
      <c r="I308" s="141">
        <v>12</v>
      </c>
      <c r="J308" s="141">
        <v>9</v>
      </c>
      <c r="K308" s="141"/>
      <c r="L308" s="141"/>
      <c r="M308" s="235">
        <v>21</v>
      </c>
      <c r="N308" s="97">
        <v>7</v>
      </c>
      <c r="O308" s="97">
        <v>8</v>
      </c>
    </row>
    <row r="309" spans="4:16" s="318" customFormat="1" ht="20.25" thickBot="1" x14ac:dyDescent="0.3">
      <c r="D309" s="319"/>
      <c r="E309" s="224"/>
      <c r="F309" s="99" t="s">
        <v>148</v>
      </c>
      <c r="G309" s="99"/>
      <c r="H309" s="99"/>
      <c r="I309" s="99"/>
      <c r="J309" s="99"/>
      <c r="K309" s="99"/>
      <c r="L309" s="99"/>
      <c r="M309" s="298">
        <v>203</v>
      </c>
      <c r="N309" s="293">
        <v>52</v>
      </c>
      <c r="O309" s="293">
        <v>57</v>
      </c>
    </row>
    <row r="310" spans="4:16" s="318" customFormat="1" ht="19.5" x14ac:dyDescent="0.25">
      <c r="D310" s="319"/>
      <c r="E310" s="222"/>
      <c r="F310" s="195"/>
      <c r="G310" s="124" t="s">
        <v>132</v>
      </c>
      <c r="H310" s="124" t="s">
        <v>133</v>
      </c>
      <c r="I310" s="124" t="s">
        <v>134</v>
      </c>
      <c r="J310" s="124" t="s">
        <v>135</v>
      </c>
      <c r="K310" s="124" t="s">
        <v>145</v>
      </c>
      <c r="L310" s="124" t="s">
        <v>146</v>
      </c>
      <c r="M310" s="117" t="s">
        <v>137</v>
      </c>
      <c r="N310" s="222"/>
      <c r="O310" s="112"/>
    </row>
    <row r="311" spans="4:16" ht="19.5" x14ac:dyDescent="0.25">
      <c r="D311" s="4"/>
      <c r="E311" s="222"/>
      <c r="F311" s="241" t="s">
        <v>153</v>
      </c>
      <c r="G311" s="160">
        <v>10</v>
      </c>
      <c r="H311" s="160">
        <v>32</v>
      </c>
      <c r="I311" s="160">
        <v>62</v>
      </c>
      <c r="J311" s="160">
        <v>59</v>
      </c>
      <c r="K311" s="160">
        <v>40</v>
      </c>
      <c r="L311" s="160">
        <v>0</v>
      </c>
      <c r="M311" s="217">
        <v>203</v>
      </c>
      <c r="N311" s="222"/>
      <c r="O311" s="112"/>
    </row>
    <row r="312" spans="4:16" s="318" customFormat="1" ht="19.5" x14ac:dyDescent="0.25">
      <c r="D312" s="319"/>
      <c r="E312" s="222"/>
      <c r="F312" s="130"/>
      <c r="G312" s="130"/>
      <c r="H312" s="130"/>
      <c r="I312" s="130"/>
      <c r="J312" s="130"/>
      <c r="K312" s="130"/>
      <c r="L312" s="130"/>
      <c r="M312" s="130"/>
      <c r="N312" s="222"/>
      <c r="O312" s="112"/>
    </row>
    <row r="313" spans="4:16" ht="15.75" x14ac:dyDescent="0.25">
      <c r="D313" s="4" t="s">
        <v>99</v>
      </c>
      <c r="E313" s="4" t="s">
        <v>79</v>
      </c>
      <c r="F313" s="4"/>
      <c r="G313" s="4"/>
      <c r="K313" s="129">
        <v>214</v>
      </c>
      <c r="L313" s="320" t="s">
        <v>143</v>
      </c>
      <c r="M313" s="129">
        <v>54.6</v>
      </c>
      <c r="N313" s="320" t="s">
        <v>144</v>
      </c>
      <c r="O313" s="129">
        <v>59.6</v>
      </c>
      <c r="P313" s="320" t="s">
        <v>144</v>
      </c>
    </row>
    <row r="314" spans="4:16" ht="15.75" x14ac:dyDescent="0.25">
      <c r="D314" s="4"/>
      <c r="E314" s="4" t="s">
        <v>104</v>
      </c>
      <c r="F314" s="4"/>
      <c r="G314" s="4"/>
    </row>
    <row r="315" spans="4:16" ht="15.75" x14ac:dyDescent="0.25">
      <c r="D315" s="4"/>
      <c r="E315" s="4" t="s">
        <v>119</v>
      </c>
      <c r="F315" s="4"/>
      <c r="G315" s="4"/>
    </row>
    <row r="316" spans="4:16" ht="15.75" x14ac:dyDescent="0.25">
      <c r="D316" s="4"/>
      <c r="E316" s="4" t="s">
        <v>60</v>
      </c>
      <c r="F316" s="4"/>
      <c r="G316" s="4"/>
    </row>
    <row r="317" spans="4:16" ht="16.5" thickBot="1" x14ac:dyDescent="0.3">
      <c r="D317" s="4"/>
      <c r="E317" s="4" t="s">
        <v>66</v>
      </c>
      <c r="F317" s="4"/>
      <c r="G317" s="4"/>
    </row>
    <row r="318" spans="4:16" s="318" customFormat="1" ht="16.5" x14ac:dyDescent="0.25">
      <c r="D318" s="319"/>
      <c r="E318" s="122" t="s">
        <v>129</v>
      </c>
      <c r="F318" s="175" t="s">
        <v>130</v>
      </c>
      <c r="G318" s="167" t="s">
        <v>132</v>
      </c>
      <c r="H318" s="167" t="s">
        <v>133</v>
      </c>
      <c r="I318" s="167" t="s">
        <v>134</v>
      </c>
      <c r="J318" s="167" t="s">
        <v>135</v>
      </c>
      <c r="K318" s="167" t="s">
        <v>145</v>
      </c>
      <c r="L318" s="167" t="s">
        <v>146</v>
      </c>
      <c r="M318" s="214" t="s">
        <v>137</v>
      </c>
      <c r="N318" s="287" t="s">
        <v>138</v>
      </c>
      <c r="O318" s="181" t="s">
        <v>139</v>
      </c>
    </row>
    <row r="319" spans="4:16" s="318" customFormat="1" ht="15.75" x14ac:dyDescent="0.25">
      <c r="D319" s="319"/>
      <c r="E319" s="250"/>
      <c r="F319" s="275"/>
      <c r="G319" s="154"/>
      <c r="H319" s="154" t="s">
        <v>133</v>
      </c>
      <c r="I319" s="154" t="s">
        <v>134</v>
      </c>
      <c r="J319" s="154" t="s">
        <v>135</v>
      </c>
      <c r="K319" s="154" t="s">
        <v>145</v>
      </c>
      <c r="L319" s="154" t="s">
        <v>146</v>
      </c>
      <c r="M319" s="301" t="s">
        <v>140</v>
      </c>
      <c r="N319" s="249" t="s">
        <v>26</v>
      </c>
      <c r="O319" s="258" t="s">
        <v>26</v>
      </c>
    </row>
    <row r="320" spans="4:16" s="318" customFormat="1" ht="19.5" hidden="1" x14ac:dyDescent="0.25">
      <c r="D320" s="319"/>
      <c r="E320" s="105"/>
      <c r="F320" s="270"/>
      <c r="G320" s="187">
        <v>0.18</v>
      </c>
      <c r="H320" s="187">
        <v>0.19</v>
      </c>
      <c r="I320" s="187">
        <v>0.2</v>
      </c>
      <c r="J320" s="187">
        <v>0.21</v>
      </c>
      <c r="K320" s="187">
        <v>0.22</v>
      </c>
      <c r="L320" s="187">
        <v>0.23</v>
      </c>
      <c r="M320" s="270"/>
      <c r="N320" s="267"/>
      <c r="O320" s="308"/>
    </row>
    <row r="321" spans="4:16" s="318" customFormat="1" ht="19.5" x14ac:dyDescent="0.25">
      <c r="D321" s="319"/>
      <c r="E321" s="105">
        <v>1</v>
      </c>
      <c r="F321" s="267" t="s">
        <v>153</v>
      </c>
      <c r="G321" s="187"/>
      <c r="H321" s="187">
        <v>45</v>
      </c>
      <c r="I321" s="187"/>
      <c r="J321" s="187"/>
      <c r="K321" s="187"/>
      <c r="L321" s="187"/>
      <c r="M321" s="267">
        <v>45</v>
      </c>
      <c r="N321" s="267">
        <v>11</v>
      </c>
      <c r="O321" s="308">
        <v>12</v>
      </c>
    </row>
    <row r="322" spans="4:16" s="318" customFormat="1" ht="19.5" x14ac:dyDescent="0.25">
      <c r="D322" s="319"/>
      <c r="E322" s="105">
        <v>2</v>
      </c>
      <c r="F322" s="267" t="s">
        <v>153</v>
      </c>
      <c r="G322" s="187"/>
      <c r="H322" s="187"/>
      <c r="I322" s="187">
        <v>50</v>
      </c>
      <c r="J322" s="187"/>
      <c r="K322" s="187"/>
      <c r="L322" s="187"/>
      <c r="M322" s="267">
        <v>50</v>
      </c>
      <c r="N322" s="267">
        <v>12</v>
      </c>
      <c r="O322" s="308">
        <v>13</v>
      </c>
    </row>
    <row r="323" spans="4:16" s="318" customFormat="1" ht="19.5" x14ac:dyDescent="0.25">
      <c r="D323" s="319"/>
      <c r="E323" s="105">
        <v>3</v>
      </c>
      <c r="F323" s="267" t="s">
        <v>153</v>
      </c>
      <c r="G323" s="187"/>
      <c r="H323" s="187"/>
      <c r="I323" s="187"/>
      <c r="J323" s="187">
        <v>50</v>
      </c>
      <c r="K323" s="187"/>
      <c r="L323" s="187"/>
      <c r="M323" s="267">
        <v>50</v>
      </c>
      <c r="N323" s="267">
        <v>12.6</v>
      </c>
      <c r="O323" s="308">
        <v>13.6</v>
      </c>
    </row>
    <row r="324" spans="4:16" s="318" customFormat="1" ht="19.5" x14ac:dyDescent="0.25">
      <c r="D324" s="319"/>
      <c r="E324" s="105">
        <v>4</v>
      </c>
      <c r="F324" s="267" t="s">
        <v>153</v>
      </c>
      <c r="G324" s="187">
        <v>6</v>
      </c>
      <c r="H324" s="187"/>
      <c r="I324" s="187"/>
      <c r="J324" s="187"/>
      <c r="K324" s="187">
        <v>25</v>
      </c>
      <c r="L324" s="187">
        <v>2</v>
      </c>
      <c r="M324" s="267">
        <v>33</v>
      </c>
      <c r="N324" s="267">
        <v>10</v>
      </c>
      <c r="O324" s="308">
        <v>11</v>
      </c>
    </row>
    <row r="325" spans="4:16" s="318" customFormat="1" ht="19.5" x14ac:dyDescent="0.25">
      <c r="D325" s="319"/>
      <c r="E325" s="105">
        <v>5</v>
      </c>
      <c r="F325" s="267" t="s">
        <v>153</v>
      </c>
      <c r="G325" s="187"/>
      <c r="H325" s="187"/>
      <c r="I325" s="187">
        <v>30</v>
      </c>
      <c r="J325" s="187">
        <v>6</v>
      </c>
      <c r="K325" s="187"/>
      <c r="L325" s="187"/>
      <c r="M325" s="267">
        <v>36</v>
      </c>
      <c r="N325" s="267">
        <v>9</v>
      </c>
      <c r="O325" s="308">
        <v>10</v>
      </c>
    </row>
    <row r="326" spans="4:16" s="318" customFormat="1" ht="20.25" thickBot="1" x14ac:dyDescent="0.3">
      <c r="D326" s="319"/>
      <c r="E326" s="263" t="s">
        <v>148</v>
      </c>
      <c r="F326" s="200"/>
      <c r="G326" s="163"/>
      <c r="H326" s="163"/>
      <c r="I326" s="163"/>
      <c r="J326" s="163"/>
      <c r="K326" s="163"/>
      <c r="L326" s="163"/>
      <c r="M326" s="171">
        <v>214</v>
      </c>
      <c r="N326" s="205">
        <v>54.6</v>
      </c>
      <c r="O326" s="146">
        <v>59.6</v>
      </c>
    </row>
    <row r="327" spans="4:16" s="318" customFormat="1" ht="19.5" x14ac:dyDescent="0.25">
      <c r="D327" s="319"/>
      <c r="E327" s="120"/>
      <c r="F327" s="192"/>
      <c r="G327" s="254" t="s">
        <v>132</v>
      </c>
      <c r="H327" s="254" t="s">
        <v>133</v>
      </c>
      <c r="I327" s="254" t="s">
        <v>134</v>
      </c>
      <c r="J327" s="254" t="s">
        <v>135</v>
      </c>
      <c r="K327" s="254" t="s">
        <v>145</v>
      </c>
      <c r="L327" s="254" t="s">
        <v>146</v>
      </c>
      <c r="M327" s="240" t="s">
        <v>137</v>
      </c>
      <c r="N327" s="120"/>
      <c r="O327" s="185"/>
    </row>
    <row r="328" spans="4:16" s="318" customFormat="1" ht="19.5" x14ac:dyDescent="0.25">
      <c r="D328" s="319"/>
      <c r="E328" s="120"/>
      <c r="F328" s="267" t="s">
        <v>153</v>
      </c>
      <c r="G328" s="267">
        <v>6</v>
      </c>
      <c r="H328" s="267">
        <v>45</v>
      </c>
      <c r="I328" s="267">
        <v>80</v>
      </c>
      <c r="J328" s="267">
        <v>56</v>
      </c>
      <c r="K328" s="267">
        <v>25</v>
      </c>
      <c r="L328" s="267">
        <v>2</v>
      </c>
      <c r="M328" s="308">
        <v>214</v>
      </c>
      <c r="N328" s="120"/>
      <c r="O328" s="185"/>
    </row>
    <row r="329" spans="4:16" ht="15.75" x14ac:dyDescent="0.25">
      <c r="D329" s="4"/>
      <c r="E329" s="4"/>
      <c r="F329" s="4"/>
      <c r="G329" s="4"/>
    </row>
    <row r="330" spans="4:16" ht="15.75" x14ac:dyDescent="0.25">
      <c r="D330" s="4" t="s">
        <v>100</v>
      </c>
      <c r="E330" s="4" t="s">
        <v>81</v>
      </c>
      <c r="F330" s="4"/>
      <c r="G330" s="4"/>
      <c r="K330" s="129">
        <v>109</v>
      </c>
      <c r="L330" s="320" t="s">
        <v>143</v>
      </c>
      <c r="M330" s="129">
        <v>15</v>
      </c>
      <c r="N330" s="320" t="s">
        <v>144</v>
      </c>
      <c r="O330" s="129">
        <v>17</v>
      </c>
      <c r="P330" s="320" t="s">
        <v>144</v>
      </c>
    </row>
    <row r="331" spans="4:16" ht="15.75" x14ac:dyDescent="0.25">
      <c r="D331" s="4"/>
      <c r="E331" s="4" t="s">
        <v>109</v>
      </c>
      <c r="F331" s="4"/>
      <c r="G331" s="4"/>
    </row>
    <row r="332" spans="4:16" ht="15.75" x14ac:dyDescent="0.25">
      <c r="D332" s="4"/>
      <c r="E332" s="4" t="s">
        <v>121</v>
      </c>
      <c r="F332" s="4"/>
      <c r="G332" s="4"/>
    </row>
    <row r="333" spans="4:16" ht="15.75" x14ac:dyDescent="0.25">
      <c r="D333" s="4"/>
      <c r="E333" s="4" t="s">
        <v>122</v>
      </c>
      <c r="F333" s="4"/>
      <c r="G333" s="4"/>
    </row>
    <row r="334" spans="4:16" ht="16.5" thickBot="1" x14ac:dyDescent="0.3">
      <c r="D334" s="4"/>
      <c r="E334" s="4" t="s">
        <v>66</v>
      </c>
      <c r="F334" s="4"/>
      <c r="G334" s="4"/>
    </row>
    <row r="335" spans="4:16" s="318" customFormat="1" ht="19.5" x14ac:dyDescent="0.25">
      <c r="D335" s="319"/>
      <c r="E335" s="122" t="s">
        <v>129</v>
      </c>
      <c r="F335" s="175" t="s">
        <v>130</v>
      </c>
      <c r="G335" s="268" t="s">
        <v>131</v>
      </c>
      <c r="H335" s="167" t="s">
        <v>132</v>
      </c>
      <c r="I335" s="268" t="s">
        <v>133</v>
      </c>
      <c r="J335" s="167" t="s">
        <v>134</v>
      </c>
      <c r="K335" s="167" t="s">
        <v>135</v>
      </c>
      <c r="L335" s="167" t="s">
        <v>136</v>
      </c>
      <c r="M335" s="268" t="s">
        <v>137</v>
      </c>
      <c r="N335" s="268"/>
      <c r="O335" s="294"/>
    </row>
    <row r="336" spans="4:16" s="318" customFormat="1" ht="19.5" x14ac:dyDescent="0.25">
      <c r="D336" s="319"/>
      <c r="E336" s="250"/>
      <c r="F336" s="275"/>
      <c r="G336" s="247"/>
      <c r="H336" s="154"/>
      <c r="I336" s="247"/>
      <c r="J336" s="154"/>
      <c r="K336" s="154"/>
      <c r="L336" s="154"/>
      <c r="M336" s="229" t="s">
        <v>140</v>
      </c>
      <c r="N336" s="229" t="s">
        <v>138</v>
      </c>
      <c r="O336" s="303" t="s">
        <v>139</v>
      </c>
    </row>
    <row r="337" spans="4:16" s="318" customFormat="1" ht="19.5" hidden="1" x14ac:dyDescent="0.25">
      <c r="D337" s="319"/>
      <c r="E337" s="165"/>
      <c r="F337" s="229"/>
      <c r="G337" s="229">
        <v>0.2</v>
      </c>
      <c r="H337" s="229">
        <v>0.21</v>
      </c>
      <c r="I337" s="229">
        <v>0.22</v>
      </c>
      <c r="J337" s="229">
        <v>0.23</v>
      </c>
      <c r="K337" s="229">
        <v>0.24</v>
      </c>
      <c r="L337" s="229">
        <v>0.25</v>
      </c>
      <c r="M337" s="229"/>
      <c r="N337" s="229"/>
      <c r="O337" s="303"/>
    </row>
    <row r="338" spans="4:16" s="318" customFormat="1" ht="19.5" x14ac:dyDescent="0.25">
      <c r="D338" s="319"/>
      <c r="E338" s="165">
        <v>1</v>
      </c>
      <c r="F338" s="229" t="s">
        <v>153</v>
      </c>
      <c r="G338" s="229"/>
      <c r="H338" s="229">
        <v>21</v>
      </c>
      <c r="I338" s="229">
        <v>38</v>
      </c>
      <c r="J338" s="229"/>
      <c r="K338" s="229"/>
      <c r="L338" s="229"/>
      <c r="M338" s="229">
        <v>59</v>
      </c>
      <c r="N338" s="229">
        <v>8</v>
      </c>
      <c r="O338" s="303">
        <v>9</v>
      </c>
    </row>
    <row r="339" spans="4:16" s="318" customFormat="1" ht="19.5" x14ac:dyDescent="0.25">
      <c r="D339" s="319"/>
      <c r="E339" s="165">
        <v>2</v>
      </c>
      <c r="F339" s="229" t="s">
        <v>153</v>
      </c>
      <c r="G339" s="229">
        <v>11</v>
      </c>
      <c r="H339" s="229"/>
      <c r="I339" s="229"/>
      <c r="J339" s="229">
        <v>30</v>
      </c>
      <c r="K339" s="229">
        <v>9</v>
      </c>
      <c r="L339" s="229"/>
      <c r="M339" s="229">
        <v>50</v>
      </c>
      <c r="N339" s="229">
        <v>7</v>
      </c>
      <c r="O339" s="303">
        <v>8</v>
      </c>
    </row>
    <row r="340" spans="4:16" s="318" customFormat="1" ht="20.25" thickBot="1" x14ac:dyDescent="0.3">
      <c r="D340" s="319"/>
      <c r="E340" s="127" t="s">
        <v>148</v>
      </c>
      <c r="F340" s="202"/>
      <c r="G340" s="180"/>
      <c r="H340" s="180"/>
      <c r="I340" s="180"/>
      <c r="J340" s="180"/>
      <c r="K340" s="180"/>
      <c r="L340" s="180"/>
      <c r="M340" s="180">
        <v>109</v>
      </c>
      <c r="N340" s="180">
        <v>15</v>
      </c>
      <c r="O340" s="180">
        <v>17</v>
      </c>
    </row>
    <row r="341" spans="4:16" s="318" customFormat="1" ht="19.5" x14ac:dyDescent="0.25">
      <c r="D341" s="319"/>
      <c r="E341" s="133"/>
      <c r="F341" s="331"/>
      <c r="G341" s="138" t="s">
        <v>131</v>
      </c>
      <c r="H341" s="138" t="s">
        <v>132</v>
      </c>
      <c r="I341" s="261" t="s">
        <v>133</v>
      </c>
      <c r="J341" s="138" t="s">
        <v>134</v>
      </c>
      <c r="K341" s="138" t="s">
        <v>135</v>
      </c>
      <c r="L341" s="138" t="s">
        <v>136</v>
      </c>
      <c r="M341" s="330" t="s">
        <v>137</v>
      </c>
      <c r="N341" s="133"/>
      <c r="O341" s="237"/>
    </row>
    <row r="342" spans="4:16" s="318" customFormat="1" ht="19.5" x14ac:dyDescent="0.25">
      <c r="D342" s="319"/>
      <c r="E342" s="133"/>
      <c r="F342" s="229" t="s">
        <v>153</v>
      </c>
      <c r="G342" s="290">
        <v>11</v>
      </c>
      <c r="H342" s="290">
        <v>21</v>
      </c>
      <c r="I342" s="290">
        <v>38</v>
      </c>
      <c r="J342" s="290">
        <v>30</v>
      </c>
      <c r="K342" s="290">
        <v>9</v>
      </c>
      <c r="L342" s="290">
        <v>0</v>
      </c>
      <c r="M342" s="209">
        <v>109</v>
      </c>
      <c r="N342" s="133"/>
      <c r="O342" s="237"/>
    </row>
    <row r="343" spans="4:16" ht="15.75" x14ac:dyDescent="0.25">
      <c r="D343" s="4"/>
      <c r="E343" s="4"/>
      <c r="F343" s="4"/>
      <c r="G343" s="4"/>
    </row>
    <row r="344" spans="4:16" ht="15.75" x14ac:dyDescent="0.25">
      <c r="D344" s="4" t="s">
        <v>101</v>
      </c>
      <c r="E344" s="4" t="s">
        <v>103</v>
      </c>
      <c r="F344" s="4"/>
      <c r="G344" s="4"/>
      <c r="K344" s="129">
        <v>305</v>
      </c>
      <c r="L344" s="320" t="s">
        <v>143</v>
      </c>
      <c r="M344" s="129">
        <v>80.2</v>
      </c>
      <c r="N344" s="320" t="s">
        <v>144</v>
      </c>
      <c r="O344" s="129">
        <v>87.2</v>
      </c>
      <c r="P344" s="320" t="s">
        <v>144</v>
      </c>
    </row>
    <row r="345" spans="4:16" ht="15.75" x14ac:dyDescent="0.25">
      <c r="D345" s="4"/>
      <c r="E345" s="4" t="s">
        <v>107</v>
      </c>
      <c r="F345" s="4"/>
      <c r="G345" s="4"/>
    </row>
    <row r="346" spans="4:16" ht="15.75" x14ac:dyDescent="0.25">
      <c r="D346" s="4"/>
      <c r="E346" s="4" t="s">
        <v>117</v>
      </c>
      <c r="F346" s="4"/>
      <c r="G346" s="4"/>
    </row>
    <row r="347" spans="4:16" ht="15.75" x14ac:dyDescent="0.25">
      <c r="D347" s="4"/>
      <c r="E347" s="4" t="s">
        <v>60</v>
      </c>
      <c r="F347" s="4"/>
      <c r="G347" s="4"/>
    </row>
    <row r="348" spans="4:16" ht="16.5" thickBot="1" x14ac:dyDescent="0.3">
      <c r="D348" s="4"/>
      <c r="E348" s="4" t="s">
        <v>66</v>
      </c>
      <c r="F348" s="4"/>
      <c r="G348" s="4"/>
    </row>
    <row r="349" spans="4:16" s="318" customFormat="1" ht="16.5" x14ac:dyDescent="0.25">
      <c r="D349" s="319"/>
      <c r="E349" s="122" t="s">
        <v>129</v>
      </c>
      <c r="F349" s="175" t="s">
        <v>130</v>
      </c>
      <c r="G349" s="167" t="s">
        <v>132</v>
      </c>
      <c r="H349" s="167" t="s">
        <v>133</v>
      </c>
      <c r="I349" s="167" t="s">
        <v>134</v>
      </c>
      <c r="J349" s="167" t="s">
        <v>135</v>
      </c>
      <c r="K349" s="167" t="s">
        <v>145</v>
      </c>
      <c r="L349" s="167" t="s">
        <v>146</v>
      </c>
      <c r="M349" s="334" t="s">
        <v>137</v>
      </c>
      <c r="N349" s="335" t="s">
        <v>138</v>
      </c>
      <c r="O349" s="336" t="s">
        <v>139</v>
      </c>
    </row>
    <row r="350" spans="4:16" s="318" customFormat="1" ht="15.75" x14ac:dyDescent="0.25">
      <c r="D350" s="319"/>
      <c r="E350" s="250"/>
      <c r="F350" s="275"/>
      <c r="G350" s="154"/>
      <c r="H350" s="154" t="s">
        <v>133</v>
      </c>
      <c r="I350" s="154" t="s">
        <v>134</v>
      </c>
      <c r="J350" s="154" t="s">
        <v>135</v>
      </c>
      <c r="K350" s="154" t="s">
        <v>145</v>
      </c>
      <c r="L350" s="154" t="s">
        <v>146</v>
      </c>
      <c r="M350" s="340" t="s">
        <v>140</v>
      </c>
      <c r="N350" s="341" t="s">
        <v>26</v>
      </c>
      <c r="O350" s="342" t="s">
        <v>26</v>
      </c>
    </row>
    <row r="351" spans="4:16" s="318" customFormat="1" ht="19.5" hidden="1" x14ac:dyDescent="0.25">
      <c r="D351" s="319"/>
      <c r="E351" s="337"/>
      <c r="F351" s="338"/>
      <c r="G351" s="343">
        <v>0.18</v>
      </c>
      <c r="H351" s="343">
        <v>0.19</v>
      </c>
      <c r="I351" s="343">
        <v>0.2</v>
      </c>
      <c r="J351" s="343">
        <v>0.21</v>
      </c>
      <c r="K351" s="343">
        <v>0.22</v>
      </c>
      <c r="L351" s="343">
        <v>0.23</v>
      </c>
      <c r="M351" s="338"/>
      <c r="N351" s="339"/>
      <c r="O351" s="344"/>
    </row>
    <row r="352" spans="4:16" s="318" customFormat="1" ht="19.5" x14ac:dyDescent="0.25">
      <c r="D352" s="319"/>
      <c r="E352" s="337">
        <v>1</v>
      </c>
      <c r="F352" s="339" t="s">
        <v>153</v>
      </c>
      <c r="G352" s="343"/>
      <c r="H352" s="343">
        <v>44</v>
      </c>
      <c r="I352" s="343"/>
      <c r="J352" s="343"/>
      <c r="K352" s="343"/>
      <c r="L352" s="343"/>
      <c r="M352" s="339">
        <v>44</v>
      </c>
      <c r="N352" s="339">
        <v>11</v>
      </c>
      <c r="O352" s="344">
        <v>12</v>
      </c>
    </row>
    <row r="353" spans="4:16" s="318" customFormat="1" ht="19.5" x14ac:dyDescent="0.25">
      <c r="D353" s="319"/>
      <c r="E353" s="337">
        <v>2</v>
      </c>
      <c r="F353" s="339" t="s">
        <v>153</v>
      </c>
      <c r="G353" s="343"/>
      <c r="H353" s="343"/>
      <c r="I353" s="343">
        <v>45</v>
      </c>
      <c r="J353" s="343"/>
      <c r="K353" s="343"/>
      <c r="L353" s="343"/>
      <c r="M353" s="339">
        <v>45</v>
      </c>
      <c r="N353" s="339">
        <v>11.4</v>
      </c>
      <c r="O353" s="344">
        <v>12.4</v>
      </c>
    </row>
    <row r="354" spans="4:16" s="318" customFormat="1" ht="19.5" x14ac:dyDescent="0.25">
      <c r="D354" s="319"/>
      <c r="E354" s="337">
        <v>3</v>
      </c>
      <c r="F354" s="339" t="s">
        <v>153</v>
      </c>
      <c r="G354" s="343"/>
      <c r="H354" s="343"/>
      <c r="I354" s="343">
        <v>45</v>
      </c>
      <c r="J354" s="343"/>
      <c r="K354" s="343"/>
      <c r="L354" s="343"/>
      <c r="M354" s="339">
        <v>45</v>
      </c>
      <c r="N354" s="339">
        <v>11.4</v>
      </c>
      <c r="O354" s="344">
        <v>12.4</v>
      </c>
    </row>
    <row r="355" spans="4:16" s="318" customFormat="1" ht="19.5" x14ac:dyDescent="0.25">
      <c r="D355" s="319"/>
      <c r="E355" s="337">
        <v>4</v>
      </c>
      <c r="F355" s="339" t="s">
        <v>153</v>
      </c>
      <c r="G355" s="343"/>
      <c r="H355" s="343"/>
      <c r="I355" s="343"/>
      <c r="J355" s="343">
        <v>45</v>
      </c>
      <c r="K355" s="343"/>
      <c r="L355" s="343"/>
      <c r="M355" s="339">
        <v>45</v>
      </c>
      <c r="N355" s="339">
        <v>12</v>
      </c>
      <c r="O355" s="344">
        <v>13</v>
      </c>
    </row>
    <row r="356" spans="4:16" s="318" customFormat="1" ht="19.5" x14ac:dyDescent="0.25">
      <c r="D356" s="319"/>
      <c r="E356" s="337">
        <v>5</v>
      </c>
      <c r="F356" s="339" t="s">
        <v>153</v>
      </c>
      <c r="G356" s="343"/>
      <c r="H356" s="343"/>
      <c r="I356" s="343"/>
      <c r="J356" s="343">
        <v>45</v>
      </c>
      <c r="K356" s="343"/>
      <c r="L356" s="343"/>
      <c r="M356" s="339">
        <v>45</v>
      </c>
      <c r="N356" s="339">
        <v>12</v>
      </c>
      <c r="O356" s="344">
        <v>13</v>
      </c>
    </row>
    <row r="357" spans="4:16" s="318" customFormat="1" ht="19.5" x14ac:dyDescent="0.25">
      <c r="D357" s="319"/>
      <c r="E357" s="337">
        <v>6</v>
      </c>
      <c r="F357" s="339" t="s">
        <v>153</v>
      </c>
      <c r="G357" s="343"/>
      <c r="H357" s="343"/>
      <c r="I357" s="343"/>
      <c r="J357" s="343"/>
      <c r="K357" s="343">
        <v>44</v>
      </c>
      <c r="L357" s="343"/>
      <c r="M357" s="339">
        <v>44</v>
      </c>
      <c r="N357" s="339">
        <v>12.4</v>
      </c>
      <c r="O357" s="344">
        <v>13.4</v>
      </c>
    </row>
    <row r="358" spans="4:16" s="318" customFormat="1" ht="19.5" x14ac:dyDescent="0.25">
      <c r="D358" s="319"/>
      <c r="E358" s="337">
        <v>7</v>
      </c>
      <c r="F358" s="339" t="s">
        <v>153</v>
      </c>
      <c r="G358" s="343"/>
      <c r="H358" s="343"/>
      <c r="I358" s="343">
        <v>26</v>
      </c>
      <c r="J358" s="343">
        <v>11</v>
      </c>
      <c r="K358" s="343"/>
      <c r="L358" s="343"/>
      <c r="M358" s="339">
        <v>37</v>
      </c>
      <c r="N358" s="339">
        <v>10</v>
      </c>
      <c r="O358" s="344">
        <v>11</v>
      </c>
    </row>
    <row r="359" spans="4:16" s="318" customFormat="1" ht="20.25" thickBot="1" x14ac:dyDescent="0.3">
      <c r="D359" s="319"/>
      <c r="E359" s="263" t="s">
        <v>148</v>
      </c>
      <c r="F359" s="200"/>
      <c r="G359" s="348"/>
      <c r="H359" s="348"/>
      <c r="I359" s="348"/>
      <c r="J359" s="348"/>
      <c r="K359" s="348"/>
      <c r="L359" s="348"/>
      <c r="M359" s="349">
        <v>305</v>
      </c>
      <c r="N359" s="350">
        <v>80.2</v>
      </c>
      <c r="O359" s="351">
        <v>87.2</v>
      </c>
    </row>
    <row r="360" spans="4:16" s="318" customFormat="1" ht="19.5" x14ac:dyDescent="0.25">
      <c r="D360" s="319"/>
      <c r="E360" s="333"/>
      <c r="F360" s="345"/>
      <c r="G360" s="346" t="s">
        <v>132</v>
      </c>
      <c r="H360" s="346" t="s">
        <v>133</v>
      </c>
      <c r="I360" s="346" t="s">
        <v>134</v>
      </c>
      <c r="J360" s="346" t="s">
        <v>135</v>
      </c>
      <c r="K360" s="346" t="s">
        <v>145</v>
      </c>
      <c r="L360" s="346" t="s">
        <v>146</v>
      </c>
      <c r="M360" s="347" t="s">
        <v>137</v>
      </c>
      <c r="N360" s="333"/>
      <c r="O360" s="332"/>
    </row>
    <row r="361" spans="4:16" s="318" customFormat="1" ht="19.5" x14ac:dyDescent="0.25">
      <c r="D361" s="319"/>
      <c r="E361" s="333"/>
      <c r="F361" s="339" t="s">
        <v>153</v>
      </c>
      <c r="G361" s="339">
        <v>0</v>
      </c>
      <c r="H361" s="339">
        <v>44</v>
      </c>
      <c r="I361" s="339">
        <v>116</v>
      </c>
      <c r="J361" s="339">
        <v>101</v>
      </c>
      <c r="K361" s="339">
        <v>44</v>
      </c>
      <c r="L361" s="339">
        <v>0</v>
      </c>
      <c r="M361" s="344">
        <v>305</v>
      </c>
      <c r="N361" s="333"/>
      <c r="O361" s="332"/>
    </row>
    <row r="362" spans="4:16" s="318" customFormat="1" ht="15.75" x14ac:dyDescent="0.25">
      <c r="D362" s="319"/>
      <c r="E362" s="319"/>
      <c r="F362" s="319"/>
      <c r="G362" s="319"/>
    </row>
    <row r="363" spans="4:16" ht="15.75" x14ac:dyDescent="0.25">
      <c r="D363" s="4" t="s">
        <v>102</v>
      </c>
      <c r="E363" s="4" t="s">
        <v>103</v>
      </c>
      <c r="F363" s="4"/>
      <c r="G363" s="4"/>
      <c r="K363" s="129">
        <v>308</v>
      </c>
      <c r="L363" s="320" t="s">
        <v>143</v>
      </c>
      <c r="M363" s="129">
        <v>81.8</v>
      </c>
      <c r="N363" s="320" t="s">
        <v>144</v>
      </c>
      <c r="O363" s="129">
        <v>88.8</v>
      </c>
      <c r="P363" s="320" t="s">
        <v>144</v>
      </c>
    </row>
    <row r="364" spans="4:16" ht="15.75" x14ac:dyDescent="0.25">
      <c r="D364" s="4"/>
      <c r="E364" s="4" t="s">
        <v>104</v>
      </c>
      <c r="F364" s="4"/>
      <c r="G364" s="4"/>
    </row>
    <row r="365" spans="4:16" ht="15.75" x14ac:dyDescent="0.25">
      <c r="D365" s="4"/>
      <c r="E365" s="4" t="s">
        <v>119</v>
      </c>
      <c r="F365" s="4"/>
      <c r="G365" s="4"/>
    </row>
    <row r="366" spans="4:16" ht="15.75" x14ac:dyDescent="0.25">
      <c r="D366" s="4"/>
      <c r="E366" s="4" t="s">
        <v>60</v>
      </c>
      <c r="F366" s="4"/>
      <c r="G366" s="4"/>
    </row>
    <row r="367" spans="4:16" ht="16.5" thickBot="1" x14ac:dyDescent="0.3">
      <c r="D367" s="4"/>
      <c r="E367" s="4" t="s">
        <v>66</v>
      </c>
      <c r="F367" s="4"/>
      <c r="G367" s="4"/>
    </row>
    <row r="368" spans="4:16" ht="16.5" x14ac:dyDescent="0.25">
      <c r="D368" s="4"/>
      <c r="E368" s="122" t="s">
        <v>129</v>
      </c>
      <c r="F368" s="175" t="s">
        <v>130</v>
      </c>
      <c r="G368" s="167" t="s">
        <v>132</v>
      </c>
      <c r="H368" s="167" t="s">
        <v>133</v>
      </c>
      <c r="I368" s="167" t="s">
        <v>134</v>
      </c>
      <c r="J368" s="167" t="s">
        <v>135</v>
      </c>
      <c r="K368" s="167" t="s">
        <v>145</v>
      </c>
      <c r="L368" s="167" t="s">
        <v>146</v>
      </c>
      <c r="M368" s="354" t="s">
        <v>137</v>
      </c>
      <c r="N368" s="355" t="s">
        <v>138</v>
      </c>
      <c r="O368" s="356" t="s">
        <v>139</v>
      </c>
    </row>
    <row r="369" spans="1:18" ht="15.75" x14ac:dyDescent="0.25">
      <c r="D369" s="4"/>
      <c r="E369" s="250"/>
      <c r="F369" s="275"/>
      <c r="G369" s="154"/>
      <c r="H369" s="154" t="s">
        <v>133</v>
      </c>
      <c r="I369" s="154" t="s">
        <v>134</v>
      </c>
      <c r="J369" s="154" t="s">
        <v>135</v>
      </c>
      <c r="K369" s="154" t="s">
        <v>145</v>
      </c>
      <c r="L369" s="154" t="s">
        <v>146</v>
      </c>
      <c r="M369" s="360" t="s">
        <v>140</v>
      </c>
      <c r="N369" s="361" t="s">
        <v>26</v>
      </c>
      <c r="O369" s="362" t="s">
        <v>26</v>
      </c>
    </row>
    <row r="370" spans="1:18" ht="19.5" hidden="1" x14ac:dyDescent="0.25">
      <c r="D370" s="4"/>
      <c r="E370" s="357"/>
      <c r="F370" s="358"/>
      <c r="G370" s="363">
        <v>0.18</v>
      </c>
      <c r="H370" s="363">
        <v>0.19</v>
      </c>
      <c r="I370" s="363">
        <v>0.2</v>
      </c>
      <c r="J370" s="363">
        <v>0.21</v>
      </c>
      <c r="K370" s="363">
        <v>0.22</v>
      </c>
      <c r="L370" s="363">
        <v>0.23</v>
      </c>
      <c r="M370" s="358"/>
      <c r="N370" s="359"/>
      <c r="O370" s="364"/>
    </row>
    <row r="371" spans="1:18" ht="19.5" x14ac:dyDescent="0.25">
      <c r="D371" s="4"/>
      <c r="E371" s="357">
        <v>1</v>
      </c>
      <c r="F371" s="359" t="s">
        <v>153</v>
      </c>
      <c r="G371" s="363"/>
      <c r="H371" s="363">
        <v>50</v>
      </c>
      <c r="I371" s="363"/>
      <c r="J371" s="363"/>
      <c r="K371" s="363"/>
      <c r="L371" s="363"/>
      <c r="M371" s="359">
        <v>50</v>
      </c>
      <c r="N371" s="359">
        <v>11.4</v>
      </c>
      <c r="O371" s="364">
        <v>12.4</v>
      </c>
    </row>
    <row r="372" spans="1:18" ht="19.5" x14ac:dyDescent="0.25">
      <c r="D372" s="4"/>
      <c r="E372" s="357">
        <v>2</v>
      </c>
      <c r="F372" s="359" t="s">
        <v>153</v>
      </c>
      <c r="G372" s="363"/>
      <c r="H372" s="363"/>
      <c r="I372" s="363">
        <v>45</v>
      </c>
      <c r="J372" s="363"/>
      <c r="K372" s="363"/>
      <c r="L372" s="363"/>
      <c r="M372" s="359">
        <v>45</v>
      </c>
      <c r="N372" s="359">
        <v>12</v>
      </c>
      <c r="O372" s="364">
        <v>13</v>
      </c>
    </row>
    <row r="373" spans="1:18" ht="19.5" x14ac:dyDescent="0.25">
      <c r="D373" s="4"/>
      <c r="E373" s="357">
        <v>3</v>
      </c>
      <c r="F373" s="359" t="s">
        <v>153</v>
      </c>
      <c r="G373" s="363"/>
      <c r="H373" s="363"/>
      <c r="I373" s="363">
        <v>45</v>
      </c>
      <c r="J373" s="363"/>
      <c r="K373" s="363"/>
      <c r="L373" s="363"/>
      <c r="M373" s="359">
        <v>45</v>
      </c>
      <c r="N373" s="359">
        <v>12</v>
      </c>
      <c r="O373" s="364">
        <v>13</v>
      </c>
    </row>
    <row r="374" spans="1:18" ht="19.5" x14ac:dyDescent="0.25">
      <c r="D374" s="4"/>
      <c r="E374" s="357">
        <v>4</v>
      </c>
      <c r="F374" s="359" t="s">
        <v>153</v>
      </c>
      <c r="G374" s="363"/>
      <c r="H374" s="363"/>
      <c r="I374" s="363"/>
      <c r="J374" s="363">
        <v>50</v>
      </c>
      <c r="K374" s="363"/>
      <c r="L374" s="363"/>
      <c r="M374" s="359">
        <v>50</v>
      </c>
      <c r="N374" s="359">
        <v>12.6</v>
      </c>
      <c r="O374" s="364">
        <v>13.6</v>
      </c>
    </row>
    <row r="375" spans="1:18" ht="19.5" x14ac:dyDescent="0.25">
      <c r="D375" s="4"/>
      <c r="E375" s="357">
        <v>5</v>
      </c>
      <c r="F375" s="359" t="s">
        <v>153</v>
      </c>
      <c r="G375" s="363"/>
      <c r="H375" s="363"/>
      <c r="I375" s="363"/>
      <c r="J375" s="363">
        <v>39</v>
      </c>
      <c r="K375" s="363"/>
      <c r="L375" s="363"/>
      <c r="M375" s="359">
        <v>39</v>
      </c>
      <c r="N375" s="359">
        <v>11.6</v>
      </c>
      <c r="O375" s="364">
        <v>12.6</v>
      </c>
    </row>
    <row r="376" spans="1:18" ht="19.5" x14ac:dyDescent="0.25">
      <c r="D376" s="4"/>
      <c r="E376" s="357">
        <v>6</v>
      </c>
      <c r="F376" s="359" t="s">
        <v>153</v>
      </c>
      <c r="G376" s="363"/>
      <c r="H376" s="363"/>
      <c r="I376" s="363"/>
      <c r="J376" s="363"/>
      <c r="K376" s="363">
        <v>50</v>
      </c>
      <c r="L376" s="363"/>
      <c r="M376" s="359">
        <v>50</v>
      </c>
      <c r="N376" s="359">
        <v>13.2</v>
      </c>
      <c r="O376" s="364">
        <v>14.2</v>
      </c>
    </row>
    <row r="377" spans="1:18" ht="19.5" x14ac:dyDescent="0.25">
      <c r="D377" s="4"/>
      <c r="E377" s="357">
        <v>7</v>
      </c>
      <c r="F377" s="359" t="s">
        <v>153</v>
      </c>
      <c r="G377" s="363"/>
      <c r="H377" s="363">
        <v>9</v>
      </c>
      <c r="I377" s="363">
        <v>20</v>
      </c>
      <c r="J377" s="363"/>
      <c r="K377" s="363"/>
      <c r="L377" s="363"/>
      <c r="M377" s="359">
        <v>29</v>
      </c>
      <c r="N377" s="359">
        <v>9</v>
      </c>
      <c r="O377" s="364">
        <v>10</v>
      </c>
    </row>
    <row r="378" spans="1:18" ht="20.25" thickBot="1" x14ac:dyDescent="0.3">
      <c r="D378" s="4"/>
      <c r="E378" s="263" t="s">
        <v>148</v>
      </c>
      <c r="F378" s="200"/>
      <c r="G378" s="368"/>
      <c r="H378" s="368"/>
      <c r="I378" s="368"/>
      <c r="J378" s="368"/>
      <c r="K378" s="368"/>
      <c r="L378" s="368"/>
      <c r="M378" s="369">
        <v>308</v>
      </c>
      <c r="N378" s="370">
        <v>81.8</v>
      </c>
      <c r="O378" s="371">
        <v>88.8</v>
      </c>
    </row>
    <row r="379" spans="1:18" ht="19.5" x14ac:dyDescent="0.25">
      <c r="D379" s="4"/>
      <c r="E379" s="353"/>
      <c r="F379" s="365"/>
      <c r="G379" s="366" t="s">
        <v>132</v>
      </c>
      <c r="H379" s="366" t="s">
        <v>133</v>
      </c>
      <c r="I379" s="366" t="s">
        <v>134</v>
      </c>
      <c r="J379" s="366" t="s">
        <v>135</v>
      </c>
      <c r="K379" s="366" t="s">
        <v>145</v>
      </c>
      <c r="L379" s="366" t="s">
        <v>146</v>
      </c>
      <c r="M379" s="367" t="s">
        <v>137</v>
      </c>
      <c r="N379" s="353"/>
      <c r="O379" s="352"/>
    </row>
    <row r="380" spans="1:18" ht="19.5" x14ac:dyDescent="0.25">
      <c r="D380" s="4"/>
      <c r="E380" s="353"/>
      <c r="F380" s="359" t="s">
        <v>153</v>
      </c>
      <c r="G380" s="359">
        <v>0</v>
      </c>
      <c r="H380" s="359">
        <v>59</v>
      </c>
      <c r="I380" s="359">
        <v>110</v>
      </c>
      <c r="J380" s="359">
        <v>89</v>
      </c>
      <c r="K380" s="359">
        <v>50</v>
      </c>
      <c r="L380" s="359">
        <v>0</v>
      </c>
      <c r="M380" s="364">
        <v>308</v>
      </c>
      <c r="N380" s="353"/>
      <c r="O380" s="352"/>
    </row>
    <row r="381" spans="1:18" ht="16.5" thickBot="1" x14ac:dyDescent="0.3">
      <c r="A381" s="28"/>
      <c r="B381" s="28"/>
      <c r="C381" s="28"/>
      <c r="D381" s="20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</row>
    <row r="382" spans="1:18" ht="16.5" x14ac:dyDescent="0.25">
      <c r="A382" s="32" t="s">
        <v>154</v>
      </c>
      <c r="B382" s="31"/>
      <c r="C382" s="32"/>
      <c r="D382"/>
      <c r="E382"/>
      <c r="F382"/>
      <c r="G382"/>
      <c r="H382"/>
      <c r="I382" s="14">
        <v>6387</v>
      </c>
      <c r="J382" s="29" t="s">
        <v>9</v>
      </c>
      <c r="K382" s="29"/>
      <c r="L382" s="324">
        <v>1921.98</v>
      </c>
      <c r="M382" s="29" t="s">
        <v>26</v>
      </c>
      <c r="N382" s="29"/>
      <c r="O382" s="324">
        <v>2126.98</v>
      </c>
      <c r="P382" s="29" t="s">
        <v>26</v>
      </c>
      <c r="Q382" s="29"/>
      <c r="R382"/>
    </row>
    <row r="383" spans="1:18" ht="16.5" x14ac:dyDescent="0.25">
      <c r="A383" s="32" t="s">
        <v>76</v>
      </c>
      <c r="B383" s="31"/>
      <c r="C383" s="32"/>
      <c r="D383"/>
      <c r="E383"/>
      <c r="F383"/>
      <c r="G383"/>
      <c r="H383"/>
      <c r="I383" s="32"/>
      <c r="J383"/>
      <c r="K383"/>
      <c r="L383" s="32"/>
      <c r="M383"/>
      <c r="N383"/>
      <c r="O383" s="32"/>
      <c r="P383"/>
      <c r="Q383"/>
      <c r="R383"/>
    </row>
    <row r="384" spans="1:18" ht="15.75" x14ac:dyDescent="0.25">
      <c r="D384" s="4"/>
    </row>
    <row r="385" spans="1:18" ht="16.5" x14ac:dyDescent="0.25">
      <c r="A385"/>
      <c r="B385"/>
      <c r="D385" t="s">
        <v>155</v>
      </c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</row>
    <row r="386" spans="1:18" ht="16.5" x14ac:dyDescent="0.25">
      <c r="A386"/>
      <c r="B386"/>
      <c r="C386"/>
      <c r="D386"/>
      <c r="E386"/>
      <c r="F386"/>
      <c r="G386"/>
      <c r="H386"/>
      <c r="I386"/>
      <c r="J386"/>
      <c r="K386"/>
      <c r="L386" s="4" t="s">
        <v>1</v>
      </c>
      <c r="M386"/>
      <c r="N386"/>
      <c r="O386"/>
      <c r="P386"/>
      <c r="Q386"/>
      <c r="R386"/>
    </row>
    <row r="387" spans="1:18" ht="17.25" thickBot="1" x14ac:dyDescent="0.3">
      <c r="A387"/>
      <c r="B387"/>
      <c r="C387"/>
      <c r="D387"/>
      <c r="E387"/>
      <c r="F387"/>
      <c r="G387"/>
      <c r="H387"/>
      <c r="I387"/>
      <c r="J387"/>
      <c r="K387"/>
      <c r="L387" s="30"/>
      <c r="M387" s="30"/>
      <c r="N387" s="30"/>
      <c r="O387" s="30"/>
      <c r="P387" s="30"/>
      <c r="Q387" s="30"/>
      <c r="R387" s="30"/>
    </row>
    <row r="388" spans="1:18" ht="15.75" x14ac:dyDescent="0.25">
      <c r="D388" s="4"/>
    </row>
    <row r="389" spans="1:18" ht="15.75" x14ac:dyDescent="0.25">
      <c r="D389" s="4"/>
    </row>
    <row r="390" spans="1:18" ht="15.75" x14ac:dyDescent="0.25">
      <c r="D390" s="4"/>
    </row>
    <row r="391" spans="1:18" ht="15.75" x14ac:dyDescent="0.25">
      <c r="D391" s="4"/>
    </row>
    <row r="392" spans="1:18" ht="15.75" x14ac:dyDescent="0.25">
      <c r="D392" s="4"/>
    </row>
    <row r="393" spans="1:18" ht="15.75" x14ac:dyDescent="0.25">
      <c r="D393" s="4"/>
    </row>
    <row r="394" spans="1:18" ht="15.75" x14ac:dyDescent="0.25">
      <c r="D394" s="4"/>
    </row>
    <row r="395" spans="1:18" ht="15.75" x14ac:dyDescent="0.25">
      <c r="D395" s="4"/>
    </row>
    <row r="396" spans="1:18" ht="15.75" x14ac:dyDescent="0.25">
      <c r="D396" s="4"/>
    </row>
    <row r="397" spans="1:18" ht="15.75" x14ac:dyDescent="0.25">
      <c r="D397" s="4"/>
    </row>
    <row r="398" spans="1:18" ht="15.75" x14ac:dyDescent="0.25">
      <c r="D398" s="4"/>
    </row>
    <row r="399" spans="1:18" ht="15.75" x14ac:dyDescent="0.25">
      <c r="D399" s="4"/>
    </row>
    <row r="400" spans="1:18" ht="15.75" x14ac:dyDescent="0.25">
      <c r="D400" s="4"/>
    </row>
    <row r="401" spans="4:4" ht="15.75" x14ac:dyDescent="0.25">
      <c r="D401" s="4"/>
    </row>
    <row r="402" spans="4:4" ht="15.75" x14ac:dyDescent="0.25">
      <c r="D402" s="4"/>
    </row>
    <row r="403" spans="4:4" ht="15.75" x14ac:dyDescent="0.25">
      <c r="D403" s="4"/>
    </row>
    <row r="404" spans="4:4" ht="15.75" x14ac:dyDescent="0.25">
      <c r="D404" s="4"/>
    </row>
    <row r="405" spans="4:4" ht="15.75" x14ac:dyDescent="0.25">
      <c r="D405" s="4"/>
    </row>
    <row r="406" spans="4:4" ht="15.75" x14ac:dyDescent="0.25">
      <c r="D406" s="4"/>
    </row>
    <row r="407" spans="4:4" ht="15.75" x14ac:dyDescent="0.25">
      <c r="D407" s="4"/>
    </row>
    <row r="408" spans="4:4" ht="15.75" x14ac:dyDescent="0.25">
      <c r="D408" s="4"/>
    </row>
    <row r="409" spans="4:4" ht="15.75" x14ac:dyDescent="0.25">
      <c r="D409" s="4"/>
    </row>
    <row r="410" spans="4:4" ht="15.75" x14ac:dyDescent="0.25">
      <c r="D410" s="4"/>
    </row>
    <row r="411" spans="4:4" ht="15.75" x14ac:dyDescent="0.25">
      <c r="D411" s="4"/>
    </row>
    <row r="412" spans="4:4" ht="15.75" x14ac:dyDescent="0.25">
      <c r="D412" s="4"/>
    </row>
    <row r="413" spans="4:4" ht="15.75" x14ac:dyDescent="0.25">
      <c r="D413" s="4"/>
    </row>
    <row r="414" spans="4:4" ht="15.75" x14ac:dyDescent="0.25">
      <c r="D414" s="4"/>
    </row>
    <row r="415" spans="4:4" ht="15.75" x14ac:dyDescent="0.25">
      <c r="D415" s="4"/>
    </row>
    <row r="416" spans="4:4" ht="15.75" x14ac:dyDescent="0.25">
      <c r="D416" s="4"/>
    </row>
    <row r="417" spans="4:4" ht="15.75" x14ac:dyDescent="0.25">
      <c r="D417" s="4"/>
    </row>
    <row r="418" spans="4:4" ht="15.75" x14ac:dyDescent="0.25">
      <c r="D418" s="4"/>
    </row>
    <row r="419" spans="4:4" ht="15.75" x14ac:dyDescent="0.25">
      <c r="D419" s="4"/>
    </row>
    <row r="420" spans="4:4" ht="15.75" x14ac:dyDescent="0.25">
      <c r="D420" s="4"/>
    </row>
    <row r="421" spans="4:4" ht="15.75" x14ac:dyDescent="0.25">
      <c r="D421" s="4"/>
    </row>
    <row r="422" spans="4:4" ht="15.75" x14ac:dyDescent="0.25">
      <c r="D422" s="4"/>
    </row>
    <row r="423" spans="4:4" ht="15.75" x14ac:dyDescent="0.25">
      <c r="D423" s="4"/>
    </row>
    <row r="424" spans="4:4" ht="15.75" x14ac:dyDescent="0.25">
      <c r="D424" s="4"/>
    </row>
    <row r="425" spans="4:4" ht="15.75" x14ac:dyDescent="0.25">
      <c r="D425" s="4"/>
    </row>
    <row r="426" spans="4:4" ht="15.75" x14ac:dyDescent="0.25">
      <c r="D426" s="4"/>
    </row>
    <row r="427" spans="4:4" ht="15.75" x14ac:dyDescent="0.25">
      <c r="D427" s="4"/>
    </row>
    <row r="428" spans="4:4" ht="15.75" x14ac:dyDescent="0.25">
      <c r="D428" s="4"/>
    </row>
    <row r="429" spans="4:4" ht="15.75" x14ac:dyDescent="0.25">
      <c r="D429" s="4"/>
    </row>
    <row r="430" spans="4:4" ht="15.75" x14ac:dyDescent="0.25">
      <c r="D430" s="4"/>
    </row>
    <row r="431" spans="4:4" ht="15.75" x14ac:dyDescent="0.25">
      <c r="D431" s="4"/>
    </row>
    <row r="432" spans="4:4" ht="15.75" x14ac:dyDescent="0.25">
      <c r="D432" s="4"/>
    </row>
    <row r="433" spans="4:4" ht="15.75" x14ac:dyDescent="0.25">
      <c r="D433" s="4"/>
    </row>
    <row r="434" spans="4:4" ht="15.75" x14ac:dyDescent="0.25">
      <c r="D434" s="4"/>
    </row>
    <row r="435" spans="4:4" ht="15.75" x14ac:dyDescent="0.25">
      <c r="D435" s="4"/>
    </row>
    <row r="436" spans="4:4" ht="15.75" x14ac:dyDescent="0.25">
      <c r="D436" s="4"/>
    </row>
    <row r="437" spans="4:4" ht="15.75" x14ac:dyDescent="0.25">
      <c r="D437" s="4"/>
    </row>
    <row r="438" spans="4:4" ht="15.75" x14ac:dyDescent="0.25">
      <c r="D438" s="4"/>
    </row>
    <row r="439" spans="4:4" ht="15.75" x14ac:dyDescent="0.25">
      <c r="D439" s="4"/>
    </row>
    <row r="440" spans="4:4" ht="15.75" x14ac:dyDescent="0.25">
      <c r="D440" s="4"/>
    </row>
    <row r="441" spans="4:4" ht="15.75" x14ac:dyDescent="0.25">
      <c r="D441" s="4"/>
    </row>
    <row r="442" spans="4:4" ht="15.75" x14ac:dyDescent="0.25">
      <c r="D442" s="4"/>
    </row>
    <row r="443" spans="4:4" ht="15.75" x14ac:dyDescent="0.25">
      <c r="D443" s="4"/>
    </row>
  </sheetData>
  <mergeCells count="147">
    <mergeCell ref="J368:J369"/>
    <mergeCell ref="K368:K369"/>
    <mergeCell ref="L368:L369"/>
    <mergeCell ref="E378:F378"/>
    <mergeCell ref="E368:E369"/>
    <mergeCell ref="F368:F369"/>
    <mergeCell ref="G368:G369"/>
    <mergeCell ref="H368:H369"/>
    <mergeCell ref="I368:I369"/>
    <mergeCell ref="I349:I350"/>
    <mergeCell ref="J349:J350"/>
    <mergeCell ref="K349:K350"/>
    <mergeCell ref="L349:L350"/>
    <mergeCell ref="E359:F359"/>
    <mergeCell ref="E349:E350"/>
    <mergeCell ref="F349:F350"/>
    <mergeCell ref="G349:G350"/>
    <mergeCell ref="H349:H350"/>
    <mergeCell ref="M335:O335"/>
    <mergeCell ref="E340:F340"/>
    <mergeCell ref="E335:E336"/>
    <mergeCell ref="F335:F336"/>
    <mergeCell ref="G335:G336"/>
    <mergeCell ref="H335:H336"/>
    <mergeCell ref="I335:I336"/>
    <mergeCell ref="J335:J336"/>
    <mergeCell ref="K335:K336"/>
    <mergeCell ref="J318:J319"/>
    <mergeCell ref="K318:K319"/>
    <mergeCell ref="L318:L319"/>
    <mergeCell ref="E326:F326"/>
    <mergeCell ref="L335:L336"/>
    <mergeCell ref="E318:E319"/>
    <mergeCell ref="F318:F319"/>
    <mergeCell ref="G318:G319"/>
    <mergeCell ref="H318:H319"/>
    <mergeCell ref="I318:I319"/>
    <mergeCell ref="L301:L302"/>
    <mergeCell ref="E301:E302"/>
    <mergeCell ref="F301:F302"/>
    <mergeCell ref="G301:G302"/>
    <mergeCell ref="H301:H302"/>
    <mergeCell ref="I301:I302"/>
    <mergeCell ref="J301:J302"/>
    <mergeCell ref="K301:K302"/>
    <mergeCell ref="E292:F292"/>
    <mergeCell ref="E284:E285"/>
    <mergeCell ref="F284:F285"/>
    <mergeCell ref="G284:G285"/>
    <mergeCell ref="H284:H285"/>
    <mergeCell ref="J267:J268"/>
    <mergeCell ref="K267:K268"/>
    <mergeCell ref="L267:L268"/>
    <mergeCell ref="E275:F275"/>
    <mergeCell ref="I284:I285"/>
    <mergeCell ref="J284:J285"/>
    <mergeCell ref="K284:K285"/>
    <mergeCell ref="L284:L285"/>
    <mergeCell ref="E267:E268"/>
    <mergeCell ref="F267:F268"/>
    <mergeCell ref="G267:G268"/>
    <mergeCell ref="H267:H268"/>
    <mergeCell ref="I267:I268"/>
    <mergeCell ref="L246:L247"/>
    <mergeCell ref="E246:E247"/>
    <mergeCell ref="F246:F247"/>
    <mergeCell ref="G246:G247"/>
    <mergeCell ref="H246:H247"/>
    <mergeCell ref="I246:I247"/>
    <mergeCell ref="J246:J247"/>
    <mergeCell ref="K246:K247"/>
    <mergeCell ref="L213:L214"/>
    <mergeCell ref="E237:F237"/>
    <mergeCell ref="E213:E214"/>
    <mergeCell ref="F213:F214"/>
    <mergeCell ref="G213:G214"/>
    <mergeCell ref="H213:H214"/>
    <mergeCell ref="I213:I214"/>
    <mergeCell ref="J213:J214"/>
    <mergeCell ref="K213:K214"/>
    <mergeCell ref="L190:L191"/>
    <mergeCell ref="E204:F204"/>
    <mergeCell ref="E190:E191"/>
    <mergeCell ref="F190:F191"/>
    <mergeCell ref="G190:G191"/>
    <mergeCell ref="H190:H191"/>
    <mergeCell ref="I190:I191"/>
    <mergeCell ref="J190:J191"/>
    <mergeCell ref="K190:K191"/>
    <mergeCell ref="L177:L178"/>
    <mergeCell ref="M177:O177"/>
    <mergeCell ref="E181:F181"/>
    <mergeCell ref="E177:E178"/>
    <mergeCell ref="F177:F178"/>
    <mergeCell ref="G177:G178"/>
    <mergeCell ref="H177:H178"/>
    <mergeCell ref="I177:I178"/>
    <mergeCell ref="J177:J178"/>
    <mergeCell ref="K177:K178"/>
    <mergeCell ref="I158:I159"/>
    <mergeCell ref="J158:J159"/>
    <mergeCell ref="K158:K159"/>
    <mergeCell ref="L158:L159"/>
    <mergeCell ref="E168:F168"/>
    <mergeCell ref="E158:E159"/>
    <mergeCell ref="F158:F159"/>
    <mergeCell ref="G158:G159"/>
    <mergeCell ref="H158:H159"/>
    <mergeCell ref="I25:I26"/>
    <mergeCell ref="J25:J26"/>
    <mergeCell ref="K25:K26"/>
    <mergeCell ref="L25:L26"/>
    <mergeCell ref="E148:F148"/>
    <mergeCell ref="E25:E26"/>
    <mergeCell ref="F25:F26"/>
    <mergeCell ref="G25:G26"/>
    <mergeCell ref="H25:H26"/>
    <mergeCell ref="P6:T6"/>
    <mergeCell ref="A7:D7"/>
    <mergeCell ref="E7:M7"/>
    <mergeCell ref="N7:T7"/>
    <mergeCell ref="C14:F14"/>
    <mergeCell ref="H14:M14"/>
    <mergeCell ref="A16:C16"/>
    <mergeCell ref="B6:F6"/>
    <mergeCell ref="N6:O6"/>
    <mergeCell ref="D16:H16"/>
    <mergeCell ref="I16:K16"/>
    <mergeCell ref="L16:N16"/>
    <mergeCell ref="O16:Q16"/>
    <mergeCell ref="A8:E8"/>
    <mergeCell ref="F8:M8"/>
    <mergeCell ref="N8:T15"/>
    <mergeCell ref="A9:M10"/>
    <mergeCell ref="A11:C11"/>
    <mergeCell ref="D11:M11"/>
    <mergeCell ref="A12:B12"/>
    <mergeCell ref="R16:T16"/>
    <mergeCell ref="C12:M12"/>
    <mergeCell ref="A13:D13"/>
    <mergeCell ref="E13:M13"/>
    <mergeCell ref="A14:B14"/>
    <mergeCell ref="A1:T1"/>
    <mergeCell ref="A2:T2"/>
    <mergeCell ref="A3:I3"/>
    <mergeCell ref="J3:T3"/>
    <mergeCell ref="A4:T4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scale="58" fitToHeight="0" orientation="portrait" r:id="rId1"/>
  <headerFooter alignWithMargins="0">
    <oddFooter>&amp;C&amp;"Times New Roman,標準"PAGE: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1</vt:i4>
      </vt:variant>
    </vt:vector>
  </HeadingPairs>
  <TitlesOfParts>
    <vt:vector size="5" baseType="lpstr">
      <vt:lpstr>(+DIV CHARGE).</vt:lpstr>
      <vt:lpstr>SHIPMENT</vt:lpstr>
      <vt:lpstr>INVOICE(PAYMENT)</vt:lpstr>
      <vt:lpstr>PACKING</vt:lpstr>
      <vt:lpstr>PACKING!Print_Titles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Inprotex 建躍</cp:lastModifiedBy>
  <cp:lastPrinted>2026-06-26T02:42:54Z</cp:lastPrinted>
  <dcterms:created xsi:type="dcterms:W3CDTF">2026-01-08T10:09:40Z</dcterms:created>
  <dcterms:modified xsi:type="dcterms:W3CDTF">2026-06-26T02:44:24Z</dcterms:modified>
</cp:coreProperties>
</file>