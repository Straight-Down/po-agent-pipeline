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软件相关\桌面\"/>
    </mc:Choice>
  </mc:AlternateContent>
  <bookViews>
    <workbookView windowWidth="22188" windowHeight="9180"/>
  </bookViews>
  <sheets>
    <sheet name="PO#1657" sheetId="2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<sst xmlns="http://schemas.openxmlformats.org/spreadsheetml/2006/main" count="41" uniqueCount="31">
  <si>
    <t xml:space="preserve">Xiamen Legendz Import &amp; Export Co., Ltd. </t>
  </si>
  <si>
    <t>Room 401-2, No. 2285, Dianqian Community, Huli District, Xiamen,Fujian,China. Postal code: 361006; Contact: Andy Tang, Phone#: +86 13400736484, Mail: andytang@legendz.com.cn</t>
  </si>
  <si>
    <r>
      <rPr>
        <sz val="12"/>
        <color theme="1"/>
        <rFont val="Times New Roman"/>
        <charset val="134"/>
      </rPr>
      <t>Shipping information: From Xiamen Port to LA port;                   Vessel: LURLINE(LUR</t>
    </r>
    <r>
      <rPr>
        <sz val="12"/>
        <color theme="1"/>
        <rFont val="宋体"/>
        <charset val="134"/>
      </rPr>
      <t>美森乐琳</t>
    </r>
    <r>
      <rPr>
        <sz val="12"/>
        <color theme="1"/>
        <rFont val="Times New Roman"/>
        <charset val="134"/>
      </rPr>
      <t>)/102E;  ETD 2026/8/5 ETA2026/8/16;                     Deliver to warehouse by 2026/8/24</t>
    </r>
  </si>
  <si>
    <t>Ctn No.</t>
  </si>
  <si>
    <t>PN</t>
  </si>
  <si>
    <t>Description</t>
  </si>
  <si>
    <t>size</t>
  </si>
  <si>
    <t>Qty per Ctn</t>
  </si>
  <si>
    <t>Ctn qty</t>
  </si>
  <si>
    <t>carton (LxWxH)</t>
  </si>
  <si>
    <t>gloss weight kg per Ctn</t>
  </si>
  <si>
    <t>total gloss weight</t>
  </si>
  <si>
    <t>net weight kg per Ctn</t>
  </si>
  <si>
    <t>total net weight</t>
  </si>
  <si>
    <t>Total CBM</t>
  </si>
  <si>
    <t>start</t>
  </si>
  <si>
    <t>end</t>
  </si>
  <si>
    <t>S</t>
  </si>
  <si>
    <t>M</t>
  </si>
  <si>
    <t>L</t>
  </si>
  <si>
    <t>XL</t>
  </si>
  <si>
    <t>2XL</t>
  </si>
  <si>
    <t>3XL</t>
  </si>
  <si>
    <t>ttl</t>
  </si>
  <si>
    <r>
      <rPr>
        <sz val="12"/>
        <color theme="1"/>
        <rFont val="Times New Roman"/>
        <charset val="134"/>
      </rPr>
      <t>PO#1657</t>
    </r>
    <r>
      <rPr>
        <sz val="12"/>
        <color theme="1"/>
        <rFont val="宋体"/>
        <charset val="134"/>
      </rPr>
      <t>，</t>
    </r>
    <r>
      <rPr>
        <sz val="12"/>
        <color theme="1"/>
        <rFont val="Times New Roman"/>
        <charset val="134"/>
      </rPr>
      <t>M630018</t>
    </r>
  </si>
  <si>
    <t>DFK</t>
  </si>
  <si>
    <t>57 x 40 x 37</t>
  </si>
  <si>
    <t>MLT</t>
  </si>
  <si>
    <r>
      <rPr>
        <sz val="12"/>
        <color theme="1"/>
        <rFont val="Times New Roman"/>
        <charset val="134"/>
      </rPr>
      <t>PO#1657</t>
    </r>
    <r>
      <rPr>
        <sz val="12"/>
        <color theme="1"/>
        <rFont val="宋体"/>
        <charset val="134"/>
      </rPr>
      <t>，</t>
    </r>
    <r>
      <rPr>
        <sz val="12"/>
        <color theme="1"/>
        <rFont val="Times New Roman"/>
        <charset val="134"/>
      </rPr>
      <t>M680009</t>
    </r>
  </si>
  <si>
    <t>DKF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</si>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</sst>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2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30"/>
      <color theme="1"/>
      <name val="Times New Roman"/>
      <charset val="134"/>
    </font>
    <font>
      <sz val="12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5" fillId="0" borderId="0"/>
  </cellStyleXfs>
  <cellXfs count="2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}al" xfId="49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8"/>
  <sheetViews>
    <sheetView tabSelected="1" workbookViewId="0">
      <pane ySplit="5" topLeftCell="A6" activePane="bottomLeft" state="frozen"/>
      <selection/>
      <selection pane="bottomLeft" activeCell="M13" sqref="M13"/>
    </sheetView>
  </sheetViews>
  <sheetFormatPr defaultColWidth="9.1" defaultRowHeight="15.6"/>
  <cols>
    <col min="1" max="1" width="5.4" style="1" customWidth="1"/>
    <col min="2" max="2" width="4.9" style="1" customWidth="1"/>
    <col min="3" max="3" width="17" style="1" customWidth="1"/>
    <col min="4" max="4" width="15.8" style="1" customWidth="1"/>
    <col min="5" max="7" width="4.4" style="1" customWidth="1"/>
    <col min="8" max="10" width="4.5" style="1" customWidth="1"/>
    <col min="11" max="12" width="11.6" style="1" customWidth="1"/>
    <col min="13" max="13" width="7.5" style="1" customWidth="1"/>
    <col min="14" max="18" width="12.3" style="1" customWidth="1"/>
    <col min="19" max="19" width="13.9" style="1"/>
    <col min="20" max="20" width="9.1" style="1"/>
    <col min="21" max="21" width="12.8" style="1"/>
    <col min="22" max="16381" width="9.1" style="1"/>
  </cols>
  <sheetData>
    <row r="1" s="1" customFormat="1" ht="37.2" spans="1:2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="1" customFormat="1" ht="18" spans="1:20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customFormat="1" spans="1:20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="2" customFormat="1" ht="18" spans="1:20">
      <c r="A4" s="4" t="s">
        <v>3</v>
      </c>
      <c r="B4" s="4"/>
      <c r="C4" s="4" t="s">
        <v>4</v>
      </c>
      <c r="D4" s="4" t="s">
        <v>5</v>
      </c>
      <c r="E4" s="6" t="s">
        <v>6</v>
      </c>
      <c r="F4" s="6"/>
      <c r="G4" s="6"/>
      <c r="H4" s="6"/>
      <c r="I4" s="6"/>
      <c r="J4" s="6"/>
      <c r="K4" s="7"/>
      <c r="L4" s="8" t="s">
        <v>7</v>
      </c>
      <c r="M4" s="8" t="s">
        <v>8</v>
      </c>
      <c r="N4" s="8" t="s">
        <v>9</v>
      </c>
      <c r="O4" s="8" t="s">
        <v>10</v>
      </c>
      <c r="P4" s="8" t="s">
        <v>11</v>
      </c>
      <c r="Q4" s="8" t="s">
        <v>12</v>
      </c>
      <c r="R4" s="8" t="s">
        <v>13</v>
      </c>
      <c r="S4" s="8" t="s">
        <v>14</v>
      </c>
    </row>
    <row r="5" s="2" customFormat="1" ht="18" spans="1:20">
      <c r="A5" s="4" t="s">
        <v>15</v>
      </c>
      <c r="B5" s="4" t="s">
        <v>16</v>
      </c>
      <c r="C5" s="4"/>
      <c r="D5" s="4"/>
      <c r="E5" s="9" t="s">
        <v>17</v>
      </c>
      <c r="F5" s="9" t="s">
        <v>18</v>
      </c>
      <c r="G5" s="9" t="s">
        <v>19</v>
      </c>
      <c r="H5" s="9" t="s">
        <v>20</v>
      </c>
      <c r="I5" s="9" t="s">
        <v>21</v>
      </c>
      <c r="J5" s="9" t="s">
        <v>22</v>
      </c>
      <c r="K5" s="4" t="s">
        <v>23</v>
      </c>
      <c r="L5" s="8"/>
      <c r="M5" s="8"/>
      <c r="N5" s="8"/>
      <c r="O5" s="8"/>
      <c r="P5" s="8"/>
      <c r="Q5" s="8"/>
      <c r="R5" s="8"/>
      <c r="S5" s="8"/>
    </row>
    <row r="6" s="1" customFormat="1" spans="1:20">
      <c r="A6" s="5">
        <v>1</v>
      </c>
      <c r="B6" s="5">
        <v>4</v>
      </c>
      <c r="C6" s="10" t="s">
        <v>24</v>
      </c>
      <c r="D6" s="11" t="s">
        <v>25</v>
      </c>
      <c r="E6" s="5"/>
      <c r="F6" s="12">
        <f>37*4</f>
        <v>148</v>
      </c>
      <c r="G6" s="12"/>
      <c r="H6" s="12"/>
      <c r="I6" s="12"/>
      <c r="J6" s="5"/>
      <c r="K6" s="5">
        <f>SUM(E6:J6)</f>
        <v>148</v>
      </c>
      <c r="L6" s="5">
        <v>37</v>
      </c>
      <c r="M6" s="5">
        <v>4</v>
      </c>
      <c r="N6" s="5" t="s">
        <v>26</v>
      </c>
      <c r="O6" s="13">
        <v>15.4</v>
      </c>
      <c r="P6" s="14">
        <f>O6*M6</f>
        <v>61.6</v>
      </c>
      <c r="Q6" s="14">
        <f>O6-0.6</f>
        <v>14.8</v>
      </c>
      <c r="R6" s="14">
        <f>Q6*M6</f>
        <v>59.2</v>
      </c>
      <c r="S6" s="15">
        <f>0.57*0.4*0.3*M6</f>
        <v>0.2736</v>
      </c>
      <c r="T6" s="16"/>
    </row>
    <row r="7" s="1" customFormat="1" spans="1:20">
      <c r="A7" s="5">
        <v>5</v>
      </c>
      <c r="B7" s="5">
        <v>9</v>
      </c>
      <c r="C7" s="17"/>
      <c r="D7" s="11"/>
      <c r="E7" s="5"/>
      <c r="F7" s="12"/>
      <c r="G7" s="12">
        <f>37*5</f>
        <v>185</v>
      </c>
      <c r="H7" s="12"/>
      <c r="I7" s="12"/>
      <c r="J7" s="5"/>
      <c r="K7" s="5">
        <f>SUM(E7:J7)</f>
        <v>185</v>
      </c>
      <c r="L7" s="5">
        <v>37</v>
      </c>
      <c r="M7" s="5">
        <v>5</v>
      </c>
      <c r="N7" s="5" t="s">
        <v>26</v>
      </c>
      <c r="O7" s="13">
        <v>15.7</v>
      </c>
      <c r="P7" s="14">
        <f>O7*M7</f>
        <v>78.5</v>
      </c>
      <c r="Q7" s="14">
        <f>O7-0.6</f>
        <v>15.1</v>
      </c>
      <c r="R7" s="14">
        <f>Q7*M7</f>
        <v>75.5</v>
      </c>
      <c r="S7" s="15">
        <f>0.57*0.4*0.3*M7</f>
        <v>0.342</v>
      </c>
      <c r="T7" s="16"/>
    </row>
    <row r="8" s="1" customFormat="1" spans="1:20">
      <c r="A8" s="5">
        <v>10</v>
      </c>
      <c r="B8" s="5">
        <v>14</v>
      </c>
      <c r="C8" s="17"/>
      <c r="D8" s="18"/>
      <c r="E8" s="12"/>
      <c r="F8" s="12"/>
      <c r="G8" s="12"/>
      <c r="H8" s="12">
        <f>35*5</f>
        <v>175</v>
      </c>
      <c r="I8" s="12"/>
      <c r="J8" s="5"/>
      <c r="K8" s="5">
        <f>SUM(E8:J8)</f>
        <v>175</v>
      </c>
      <c r="L8" s="5">
        <v>35</v>
      </c>
      <c r="M8" s="5">
        <v>5</v>
      </c>
      <c r="N8" s="5" t="s">
        <v>26</v>
      </c>
      <c r="O8" s="13">
        <v>15.8</v>
      </c>
      <c r="P8" s="14">
        <f>O8*M8</f>
        <v>79</v>
      </c>
      <c r="Q8" s="14">
        <f>O8-0.6</f>
        <v>15.2</v>
      </c>
      <c r="R8" s="14">
        <f>Q8*M8</f>
        <v>76</v>
      </c>
      <c r="S8" s="15">
        <f>0.57*0.4*0.3*M8</f>
        <v>0.342</v>
      </c>
      <c r="T8" s="16"/>
    </row>
    <row r="9" s="1" customFormat="1" spans="1:20">
      <c r="A9" s="5">
        <v>15</v>
      </c>
      <c r="B9" s="5">
        <v>15</v>
      </c>
      <c r="C9" s="17"/>
      <c r="D9" s="18"/>
      <c r="E9" s="12"/>
      <c r="F9" s="12"/>
      <c r="G9" s="12"/>
      <c r="H9" s="12"/>
      <c r="I9" s="12">
        <v>32</v>
      </c>
      <c r="J9" s="5"/>
      <c r="K9" s="5">
        <f>SUM(E9:J9)</f>
        <v>32</v>
      </c>
      <c r="L9" s="5">
        <v>32</v>
      </c>
      <c r="M9" s="5">
        <v>1</v>
      </c>
      <c r="N9" s="5" t="s">
        <v>26</v>
      </c>
      <c r="O9" s="13">
        <v>15.1</v>
      </c>
      <c r="P9" s="14">
        <f>O9*M9</f>
        <v>15.1</v>
      </c>
      <c r="Q9" s="14">
        <f>O9-0.6</f>
        <v>14.5</v>
      </c>
      <c r="R9" s="14">
        <f>Q9*M9</f>
        <v>14.5</v>
      </c>
      <c r="S9" s="15">
        <f>0.57*0.4*0.3*M9</f>
        <v>0.0684</v>
      </c>
      <c r="T9" s="16"/>
    </row>
    <row r="10" s="1" customFormat="1" spans="1:20">
      <c r="A10" s="5">
        <v>16</v>
      </c>
      <c r="B10" s="5">
        <v>16</v>
      </c>
      <c r="C10" s="17"/>
      <c r="D10" s="18"/>
      <c r="E10" s="12"/>
      <c r="F10" s="12"/>
      <c r="G10" s="12">
        <v>20</v>
      </c>
      <c r="H10" s="12">
        <v>13</v>
      </c>
      <c r="I10" s="12"/>
      <c r="J10" s="5"/>
      <c r="K10" s="5">
        <f>SUM(E10:J10)</f>
        <v>33</v>
      </c>
      <c r="L10" s="5">
        <v>33</v>
      </c>
      <c r="M10" s="5">
        <v>1</v>
      </c>
      <c r="N10" s="5" t="s">
        <v>26</v>
      </c>
      <c r="O10" s="13">
        <v>14.4</v>
      </c>
      <c r="P10" s="14">
        <f>O10*M10</f>
        <v>14.4</v>
      </c>
      <c r="Q10" s="14">
        <f>O10-0.6</f>
        <v>13.8</v>
      </c>
      <c r="R10" s="14">
        <f>Q10*M10</f>
        <v>13.8</v>
      </c>
      <c r="S10" s="15">
        <f>0.57*0.4*0.3*M10</f>
        <v>0.0684</v>
      </c>
      <c r="T10" s="16"/>
    </row>
    <row r="11" s="1" customFormat="1" ht="16" customHeight="1" spans="1:20">
      <c r="A11" s="19"/>
      <c r="B11" s="19"/>
      <c r="C11" s="20"/>
      <c r="D11" s="19"/>
      <c r="E11" s="19">
        <f t="shared" ref="E11:L11" si="0">SUM(E6:E10)</f>
        <v>0</v>
      </c>
      <c r="F11" s="19">
        <f t="shared" si="0"/>
        <v>148</v>
      </c>
      <c r="G11" s="19">
        <f t="shared" si="0"/>
        <v>205</v>
      </c>
      <c r="H11" s="19">
        <f t="shared" si="0"/>
        <v>188</v>
      </c>
      <c r="I11" s="19">
        <f t="shared" si="0"/>
        <v>32</v>
      </c>
      <c r="J11" s="19">
        <f t="shared" si="0"/>
        <v>0</v>
      </c>
      <c r="K11" s="19">
        <f t="shared" si="0"/>
        <v>573</v>
      </c>
      <c r="L11" s="19"/>
      <c r="M11" s="19">
        <f>SUM(M6:M10)</f>
        <v>16</v>
      </c>
      <c r="N11" s="19"/>
      <c r="O11" s="19"/>
      <c r="P11" s="19">
        <f>SUM(P6:P10)</f>
        <v>248.6</v>
      </c>
      <c r="Q11" s="19"/>
      <c r="R11" s="19">
        <f>SUM(R6:R10)</f>
        <v>239</v>
      </c>
      <c r="S11" s="19">
        <f>SUM(S6:S10)</f>
        <v>1.0944</v>
      </c>
      <c r="T11" s="16"/>
    </row>
    <row r="12" s="1" customFormat="1" spans="1:20">
      <c r="A12" s="5">
        <v>17</v>
      </c>
      <c r="B12" s="5">
        <v>17</v>
      </c>
      <c r="C12" s="10" t="s">
        <v>24</v>
      </c>
      <c r="D12" s="11" t="s">
        <v>27</v>
      </c>
      <c r="E12" s="5"/>
      <c r="F12" s="12">
        <v>37</v>
      </c>
      <c r="H12" s="12"/>
      <c r="I12" s="12"/>
      <c r="J12" s="5"/>
      <c r="K12" s="5">
        <f>SUM(E12:J12)</f>
        <v>37</v>
      </c>
      <c r="L12" s="5">
        <v>37</v>
      </c>
      <c r="M12" s="5">
        <v>1</v>
      </c>
      <c r="N12" s="5" t="s">
        <v>26</v>
      </c>
      <c r="O12" s="13">
        <v>15.3</v>
      </c>
      <c r="P12" s="14">
        <f>O12*M12</f>
        <v>15.3</v>
      </c>
      <c r="Q12" s="14">
        <f>O12-0.6</f>
        <v>14.7</v>
      </c>
      <c r="R12" s="14">
        <f>Q12*M12</f>
        <v>14.7</v>
      </c>
      <c r="S12" s="15">
        <f>0.57*0.4*0.3*M12</f>
        <v>0.0684</v>
      </c>
      <c r="T12" s="16"/>
    </row>
    <row r="13" s="1" customFormat="1" spans="1:20">
      <c r="A13" s="5">
        <v>18</v>
      </c>
      <c r="B13" s="5">
        <v>20</v>
      </c>
      <c r="C13" s="17"/>
      <c r="D13" s="11"/>
      <c r="E13" s="5"/>
      <c r="F13" s="12"/>
      <c r="G13" s="12">
        <f>37*3</f>
        <v>111</v>
      </c>
      <c r="H13" s="12"/>
      <c r="I13" s="12"/>
      <c r="J13" s="5"/>
      <c r="K13" s="5">
        <f>SUM(E13:J13)</f>
        <v>111</v>
      </c>
      <c r="L13" s="5">
        <v>37</v>
      </c>
      <c r="M13" s="5">
        <v>3</v>
      </c>
      <c r="N13" s="5" t="s">
        <v>26</v>
      </c>
      <c r="O13" s="13">
        <v>15.9</v>
      </c>
      <c r="P13" s="14">
        <f>O13*M13</f>
        <v>47.7</v>
      </c>
      <c r="Q13" s="14">
        <f>O13-0.6</f>
        <v>15.3</v>
      </c>
      <c r="R13" s="14">
        <f>Q13*M13</f>
        <v>45.9</v>
      </c>
      <c r="S13" s="15">
        <f>0.57*0.4*0.3*M13</f>
        <v>0.2052</v>
      </c>
      <c r="T13" s="16"/>
    </row>
    <row r="14" s="1" customFormat="1" ht="16" customHeight="1" spans="1:20">
      <c r="A14" s="19"/>
      <c r="B14" s="19"/>
      <c r="C14" s="20"/>
      <c r="D14" s="19"/>
      <c r="E14" s="19">
        <f t="shared" ref="E14:K14" si="1">SUM(E12:E13)</f>
        <v>0</v>
      </c>
      <c r="F14" s="19">
        <f t="shared" si="1"/>
        <v>37</v>
      </c>
      <c r="G14" s="19">
        <f>SUM(G13:G13)</f>
        <v>111</v>
      </c>
      <c r="H14" s="19">
        <f t="shared" si="1"/>
        <v>0</v>
      </c>
      <c r="I14" s="19">
        <f t="shared" si="1"/>
        <v>0</v>
      </c>
      <c r="J14" s="19">
        <f t="shared" si="1"/>
        <v>0</v>
      </c>
      <c r="K14" s="19">
        <f t="shared" si="1"/>
        <v>148</v>
      </c>
      <c r="L14" s="19"/>
      <c r="M14" s="19">
        <f>SUM(M12:M13)</f>
        <v>4</v>
      </c>
      <c r="N14" s="19"/>
      <c r="O14" s="19"/>
      <c r="P14" s="19">
        <f>SUM(P12:P13)</f>
        <v>63</v>
      </c>
      <c r="Q14" s="19"/>
      <c r="R14" s="19">
        <f>SUM(R12:R13)</f>
        <v>60.6</v>
      </c>
      <c r="S14" s="19">
        <f>SUM(S12:S13)</f>
        <v>0.2736</v>
      </c>
      <c r="T14" s="16"/>
    </row>
    <row r="15" s="1" customFormat="1" spans="1:20">
      <c r="A15" s="5">
        <v>21</v>
      </c>
      <c r="B15" s="5">
        <v>22</v>
      </c>
      <c r="C15" s="10" t="s">
        <v>28</v>
      </c>
      <c r="D15" s="11" t="s">
        <v>29</v>
      </c>
      <c r="E15" s="5"/>
      <c r="F15" s="12">
        <f>56*2</f>
        <v>112</v>
      </c>
      <c r="G15" s="12"/>
      <c r="H15" s="12"/>
      <c r="I15" s="12"/>
      <c r="J15" s="5"/>
      <c r="K15" s="5">
        <f>SUM(E15:J15)</f>
        <v>112</v>
      </c>
      <c r="L15" s="5">
        <v>56</v>
      </c>
      <c r="M15" s="5">
        <v>2</v>
      </c>
      <c r="N15" s="5" t="s">
        <v>26</v>
      </c>
      <c r="O15" s="13">
        <v>17</v>
      </c>
      <c r="P15" s="14">
        <f>O15*M15</f>
        <v>34</v>
      </c>
      <c r="Q15" s="14">
        <f>O15-0.6</f>
        <v>16.4</v>
      </c>
      <c r="R15" s="14">
        <f>Q15*M15</f>
        <v>32.8</v>
      </c>
      <c r="S15" s="15">
        <f>0.57*0.4*0.3*M15</f>
        <v>0.1368</v>
      </c>
      <c r="T15" s="16"/>
    </row>
    <row r="16" s="1" customFormat="1" spans="1:20">
      <c r="A16" s="5">
        <v>23</v>
      </c>
      <c r="B16" s="5">
        <v>25</v>
      </c>
      <c r="C16" s="17"/>
      <c r="D16" s="11"/>
      <c r="E16" s="5"/>
      <c r="F16" s="12"/>
      <c r="G16" s="12">
        <f>56*3</f>
        <v>168</v>
      </c>
      <c r="H16" s="12"/>
      <c r="I16" s="12"/>
      <c r="J16" s="5"/>
      <c r="K16" s="5">
        <f>SUM(E16:J16)</f>
        <v>168</v>
      </c>
      <c r="L16" s="5">
        <v>56</v>
      </c>
      <c r="M16" s="5">
        <v>3</v>
      </c>
      <c r="N16" s="5" t="s">
        <v>26</v>
      </c>
      <c r="O16" s="13">
        <v>17.4</v>
      </c>
      <c r="P16" s="14">
        <f>O16*M16</f>
        <v>52.2</v>
      </c>
      <c r="Q16" s="14">
        <f>O16-0.6</f>
        <v>16.8</v>
      </c>
      <c r="R16" s="14">
        <f>Q16*M16</f>
        <v>50.4</v>
      </c>
      <c r="S16" s="15">
        <f>0.57*0.4*0.3*M16</f>
        <v>0.2052</v>
      </c>
      <c r="T16" s="16"/>
    </row>
    <row r="17" s="1" customFormat="1" spans="1:20">
      <c r="A17" s="5">
        <v>26</v>
      </c>
      <c r="B17" s="5">
        <v>26</v>
      </c>
      <c r="C17" s="17"/>
      <c r="D17" s="18"/>
      <c r="E17" s="12"/>
      <c r="F17" s="12">
        <v>16</v>
      </c>
      <c r="G17" s="12">
        <v>32</v>
      </c>
      <c r="H17" s="12"/>
      <c r="I17" s="12"/>
      <c r="J17" s="5"/>
      <c r="K17" s="5">
        <f>SUM(E17:J17)</f>
        <v>48</v>
      </c>
      <c r="L17" s="5">
        <v>48</v>
      </c>
      <c r="M17" s="5">
        <v>1</v>
      </c>
      <c r="N17" s="5" t="s">
        <v>26</v>
      </c>
      <c r="O17" s="13">
        <v>15</v>
      </c>
      <c r="P17" s="14">
        <f>O17*M17</f>
        <v>15</v>
      </c>
      <c r="Q17" s="14">
        <f>O17-0.6</f>
        <v>14.4</v>
      </c>
      <c r="R17" s="14">
        <f>Q17*M17</f>
        <v>14.4</v>
      </c>
      <c r="S17" s="15">
        <f>0.57*0.4*0.3*M17</f>
        <v>0.0684</v>
      </c>
      <c r="T17" s="16"/>
    </row>
    <row r="18" s="1" customFormat="1" ht="16" customHeight="1" spans="1:20">
      <c r="A18" s="19"/>
      <c r="B18" s="19"/>
      <c r="C18" s="20"/>
      <c r="D18" s="19"/>
      <c r="E18" s="19">
        <f t="shared" ref="E18:K18" si="2">SUM(E15:E17)</f>
        <v>0</v>
      </c>
      <c r="F18" s="19">
        <f t="shared" si="2"/>
        <v>128</v>
      </c>
      <c r="G18" s="19">
        <f t="shared" si="2"/>
        <v>200</v>
      </c>
      <c r="H18" s="19">
        <f t="shared" si="2"/>
        <v>0</v>
      </c>
      <c r="I18" s="19">
        <f t="shared" si="2"/>
        <v>0</v>
      </c>
      <c r="J18" s="19">
        <f t="shared" si="2"/>
        <v>0</v>
      </c>
      <c r="K18" s="19">
        <f t="shared" si="2"/>
        <v>328</v>
      </c>
      <c r="L18" s="19"/>
      <c r="M18" s="19">
        <f>SUM(M15:M17)</f>
        <v>6</v>
      </c>
      <c r="N18" s="19"/>
      <c r="O18" s="19"/>
      <c r="P18" s="19">
        <f>SUM(P15:P17)</f>
        <v>101.2</v>
      </c>
      <c r="Q18" s="19"/>
      <c r="R18" s="19">
        <f>SUM(R15:R17)</f>
        <v>97.6</v>
      </c>
      <c r="S18" s="19">
        <f>SUM(S15:S17)</f>
        <v>0.4104</v>
      </c>
      <c r="T18" s="16"/>
    </row>
    <row r="19" spans="1:20">
      <c r="D19" s="21" t="s">
        <v>30</v>
      </c>
      <c r="K19" s="1">
        <f t="shared" ref="K19:P19" si="3">SUM(K11,K14,K18)</f>
        <v>1049</v>
      </c>
      <c r="M19" s="1">
        <f t="shared" si="3"/>
        <v>26</v>
      </c>
      <c r="P19" s="1">
        <f t="shared" si="3"/>
        <v>412.8</v>
      </c>
      <c r="R19" s="1">
        <f>SUM(R11,R14,R18)</f>
        <v>397.2</v>
      </c>
      <c r="S19" s="1">
        <f>SUM(S11,S14,S18)</f>
        <v>1.7784</v>
      </c>
    </row>
    <row r="20" spans="1:20">
      <c r="L20" s="22"/>
    </row>
    <row r="21" spans="1:20">
      <c r="L21" s="22"/>
    </row>
    <row r="22" spans="1:20">
      <c r="L22" s="22"/>
    </row>
    <row r="23" spans="1:20">
      <c r="L23" s="22"/>
    </row>
    <row r="24" spans="1:20">
      <c r="L24" s="22"/>
    </row>
    <row r="25" spans="1:20">
      <c r="L25" s="22"/>
    </row>
    <row r="26" spans="1:20">
      <c r="L26" s="22"/>
    </row>
    <row r="27" spans="1:20">
      <c r="L27" s="22"/>
    </row>
    <row r="28" spans="1:20">
      <c r="L28" s="22"/>
    </row>
    <row r="29" spans="1:20">
      <c r="L29" s="22"/>
    </row>
    <row r="30" spans="1:20">
      <c r="L30" s="22"/>
    </row>
    <row r="31" spans="1:20">
      <c r="L31" s="22"/>
    </row>
    <row r="32" spans="1:20">
      <c r="L32" s="22"/>
    </row>
    <row r="33" spans="12:12">
      <c r="L33" s="22"/>
    </row>
    <row r="34" spans="12:12">
      <c r="L34" s="22"/>
    </row>
    <row r="35" spans="12:12">
      <c r="L35" s="22"/>
    </row>
    <row r="36" spans="12:12">
      <c r="L36" s="22"/>
    </row>
    <row r="37" spans="12:12">
      <c r="L37" s="22"/>
    </row>
    <row r="38" spans="12:12">
      <c r="L38" s="22"/>
    </row>
    <row r="39" spans="12:12">
      <c r="L39" s="22"/>
    </row>
    <row r="40" spans="12:12">
      <c r="L40" s="22"/>
    </row>
    <row r="41" spans="12:12">
      <c r="L41" s="22"/>
    </row>
    <row r="42" spans="12:12">
      <c r="L42" s="22"/>
    </row>
    <row r="43" spans="12:12">
      <c r="L43" s="22"/>
    </row>
    <row r="44" spans="12:12">
      <c r="L44" s="22"/>
    </row>
    <row r="45" spans="12:12">
      <c r="L45" s="22"/>
    </row>
    <row r="46" spans="12:12">
      <c r="L46" s="22"/>
    </row>
    <row r="47" spans="12:12">
      <c r="L47" s="22"/>
    </row>
    <row r="48" spans="12:12">
      <c r="L48" s="22"/>
    </row>
    <row r="49" spans="12:12">
      <c r="L49" s="22"/>
    </row>
    <row r="50" spans="12:12">
      <c r="L50" s="22"/>
    </row>
    <row r="51" spans="12:12">
      <c r="L51" s="22"/>
    </row>
    <row r="52" spans="12:12">
      <c r="L52" s="22"/>
    </row>
    <row r="53" spans="12:12">
      <c r="L53" s="22"/>
    </row>
    <row r="54" spans="12:12">
      <c r="L54" s="22"/>
    </row>
    <row r="55" spans="12:12">
      <c r="L55" s="22"/>
    </row>
    <row r="56" spans="12:12">
      <c r="L56" s="22"/>
    </row>
    <row r="57" spans="12:12">
      <c r="L57" s="22"/>
    </row>
    <row r="58" spans="12:12">
      <c r="L58" s="22"/>
    </row>
    <row r="59" spans="12:12">
      <c r="L59" s="22"/>
    </row>
    <row r="60" spans="12:12">
      <c r="L60" s="22"/>
    </row>
    <row r="61" spans="12:12">
      <c r="L61" s="22"/>
    </row>
    <row r="62" spans="12:12">
      <c r="L62" s="22"/>
    </row>
    <row r="63" spans="12:12">
      <c r="L63" s="22"/>
    </row>
    <row r="64" spans="12:12">
      <c r="L64" s="22"/>
    </row>
    <row r="65" spans="12:12">
      <c r="L65" s="22"/>
    </row>
    <row r="66" spans="12:12">
      <c r="L66" s="22"/>
    </row>
    <row r="67" spans="12:12">
      <c r="L67" s="22"/>
    </row>
    <row r="68" spans="12:12">
      <c r="L68" s="22"/>
    </row>
  </sheetData>
  <mergeCells count="21">
    <mergeCell ref="A1:S1"/>
    <mergeCell ref="A2:S2"/>
    <mergeCell ref="A3:S3"/>
    <mergeCell ref="A4:B4"/>
    <mergeCell ref="E4:K4"/>
    <mergeCell ref="C4:C5"/>
    <mergeCell ref="C6:C10"/>
    <mergeCell ref="C12:C13"/>
    <mergeCell ref="C15:C17"/>
    <mergeCell ref="D4:D5"/>
    <mergeCell ref="D6:D10"/>
    <mergeCell ref="D12:D13"/>
    <mergeCell ref="D15:D17"/>
    <mergeCell ref="L4:L5"/>
    <mergeCell ref="M4:M5"/>
    <mergeCell ref="N4:N5"/>
    <mergeCell ref="O4:O5"/>
    <mergeCell ref="P4:P5"/>
    <mergeCell ref="Q4:Q5"/>
    <mergeCell ref="R4:R5"/>
    <mergeCell ref="S4:S5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PO#1657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</dc:creator>
  <cp:lastModifiedBy>Andy Tang</cp:lastModifiedBy>
  <dcterms:created xsi:type="dcterms:W3CDTF">2021-12-23T17:13:00Z</dcterms:created>
  <dcterms:modified xsi:type="dcterms:W3CDTF">2026-08-03T08:55:41Z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D771B968144980728C85AD62D48F447A</vt:lpwstr>
  </property>
  <property fmtid="{D5CDD505-2E9C-101B-9397-08002B2CF9AE}" pid="4" name="CalculationRule">
    <vt:i4>0</vt:i4>
  </property>
</Properties>
</file>